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jiayang\Desktop\文档\"/>
    </mc:Choice>
  </mc:AlternateContent>
  <xr:revisionPtr revIDLastSave="0" documentId="13_ncr:1_{A65EE395-5015-4889-84F3-36011832B87C}" xr6:coauthVersionLast="47" xr6:coauthVersionMax="47" xr10:uidLastSave="{00000000-0000-0000-0000-000000000000}"/>
  <bookViews>
    <workbookView xWindow="-110" yWindow="-110" windowWidth="25820" windowHeight="13900" activeTab="7" xr2:uid="{00000000-000D-0000-FFFF-FFFF00000000}"/>
  </bookViews>
  <sheets>
    <sheet name="一般信息" sheetId="1" r:id="rId1"/>
    <sheet name="全局" sheetId="4" r:id="rId2"/>
    <sheet name="额叶" sheetId="5" r:id="rId3"/>
    <sheet name="中央区" sheetId="7" r:id="rId4"/>
    <sheet name="顶叶" sheetId="6" r:id="rId5"/>
    <sheet name="枕叶" sheetId="8" r:id="rId6"/>
    <sheet name="颞叶" sheetId="9" r:id="rId7"/>
    <sheet name="Sheet1" sheetId="3" r:id="rId8"/>
    <sheet name="奶方" sheetId="2" r:id="rId9"/>
  </sheets>
  <definedNames>
    <definedName name="_xlnm._FilterDatabase" localSheetId="7" hidden="1">Sheet1!$A$1:$BY$86</definedName>
    <definedName name="_xlnm._FilterDatabase" localSheetId="8" hidden="1">奶方!$A$1:$Y$73</definedName>
    <definedName name="_xlnm._FilterDatabase" localSheetId="1" hidden="1">全局!$A$1:$W$84</definedName>
    <definedName name="_xlnm._FilterDatabase" localSheetId="0" hidden="1">一般信息!$A$1:$CD$84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5" i="1" l="1"/>
  <c r="O80" i="1"/>
  <c r="O84" i="1"/>
  <c r="AX84" i="1"/>
  <c r="B84" i="1" l="1"/>
  <c r="B76" i="1"/>
  <c r="B80" i="1"/>
  <c r="B73" i="1"/>
  <c r="B74" i="1"/>
  <c r="B75" i="1"/>
  <c r="B77" i="1"/>
  <c r="B78" i="1"/>
  <c r="B79" i="1"/>
  <c r="B81" i="1"/>
  <c r="B82" i="1"/>
  <c r="B83" i="1"/>
  <c r="O13" i="2" l="1"/>
  <c r="O33" i="1"/>
  <c r="I17" i="1"/>
  <c r="I4" i="1"/>
  <c r="I3" i="1"/>
  <c r="I24" i="1"/>
  <c r="AX32" i="1"/>
  <c r="AX17" i="1"/>
  <c r="AX16" i="1"/>
  <c r="AX25" i="1"/>
  <c r="AX52" i="1"/>
  <c r="AX46" i="1"/>
  <c r="AX15" i="1"/>
  <c r="AX41" i="1"/>
  <c r="AX13" i="1"/>
  <c r="AX40" i="1"/>
  <c r="AX70" i="1"/>
  <c r="AX10" i="1"/>
  <c r="AX36" i="1"/>
  <c r="AX53" i="1"/>
  <c r="AX39" i="1"/>
  <c r="AX57" i="1"/>
  <c r="AX62" i="1"/>
  <c r="AX66" i="1"/>
  <c r="AX34" i="1"/>
  <c r="AX69" i="1"/>
  <c r="AX11" i="1"/>
  <c r="AX19" i="1"/>
  <c r="AX9" i="1"/>
  <c r="AX45" i="1"/>
  <c r="AX54" i="1"/>
  <c r="AX38" i="1"/>
  <c r="AX28" i="1"/>
  <c r="AX7" i="1"/>
  <c r="AX8" i="1"/>
  <c r="AX22" i="1"/>
  <c r="AX51" i="1"/>
  <c r="AX58" i="1"/>
  <c r="AX49" i="1"/>
  <c r="AX65" i="1"/>
  <c r="AX29" i="1"/>
  <c r="AX30" i="1"/>
  <c r="AX42" i="1"/>
  <c r="AX71" i="1"/>
  <c r="AX26" i="1"/>
  <c r="AX35" i="1"/>
  <c r="AX37" i="1"/>
  <c r="AX63" i="1"/>
  <c r="AX27" i="1"/>
  <c r="AX31" i="1"/>
  <c r="AX72" i="1"/>
  <c r="AX47" i="1"/>
  <c r="AX12" i="1"/>
  <c r="AX61" i="1"/>
  <c r="AX20" i="1"/>
  <c r="AX6" i="1"/>
  <c r="AX5" i="1"/>
  <c r="AX23" i="1"/>
  <c r="AX18" i="1"/>
  <c r="AX14" i="1"/>
  <c r="AX2" i="1"/>
  <c r="AX21" i="1"/>
  <c r="AX55" i="1"/>
  <c r="AX48" i="1"/>
  <c r="AX50" i="1"/>
  <c r="AX44" i="1"/>
  <c r="AX64" i="1"/>
  <c r="AX68" i="1"/>
  <c r="AX59" i="1"/>
  <c r="AX56" i="1"/>
  <c r="AX67" i="1"/>
  <c r="AX43" i="1"/>
  <c r="AX33" i="1"/>
  <c r="AX24" i="1"/>
  <c r="AX3" i="1"/>
  <c r="AX4" i="1"/>
  <c r="AX60" i="1"/>
  <c r="N6" i="2"/>
  <c r="O6" i="2" s="1"/>
  <c r="I32" i="1"/>
  <c r="N69" i="2"/>
  <c r="O69" i="2" s="1"/>
  <c r="O9" i="2"/>
  <c r="N72" i="2"/>
  <c r="O72" i="2" s="1"/>
  <c r="N73" i="2"/>
  <c r="O73" i="2" s="1"/>
  <c r="N4" i="2"/>
  <c r="O4" i="2" s="1"/>
  <c r="N5" i="2"/>
  <c r="O5" i="2" s="1"/>
  <c r="N7" i="2"/>
  <c r="O7" i="2" s="1"/>
  <c r="N8" i="2"/>
  <c r="O8" i="2" s="1"/>
  <c r="N9" i="2"/>
  <c r="N10" i="2"/>
  <c r="O10" i="2" s="1"/>
  <c r="N11" i="2"/>
  <c r="O11" i="2" s="1"/>
  <c r="N12" i="2"/>
  <c r="O12" i="2" s="1"/>
  <c r="N13" i="2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71" i="2"/>
  <c r="O71" i="2" s="1"/>
  <c r="N3" i="2"/>
  <c r="O3" i="2" s="1"/>
  <c r="N2" i="2"/>
  <c r="B20" i="1"/>
  <c r="B6" i="1"/>
  <c r="B5" i="1"/>
  <c r="B23" i="1"/>
  <c r="B18" i="1"/>
  <c r="B14" i="1"/>
  <c r="B2" i="1"/>
  <c r="B21" i="1"/>
  <c r="B55" i="1"/>
  <c r="B48" i="1"/>
  <c r="B50" i="1"/>
  <c r="B44" i="1"/>
  <c r="B64" i="1"/>
  <c r="B68" i="1"/>
  <c r="B59" i="1"/>
  <c r="B56" i="1"/>
  <c r="B67" i="1"/>
  <c r="B43" i="1"/>
  <c r="B33" i="1"/>
  <c r="B24" i="1"/>
  <c r="B3" i="1"/>
  <c r="B4" i="1"/>
  <c r="I55" i="1"/>
  <c r="I48" i="1"/>
  <c r="I50" i="1"/>
  <c r="I44" i="1"/>
  <c r="I64" i="1"/>
  <c r="I68" i="1"/>
  <c r="I59" i="1"/>
  <c r="I56" i="1"/>
  <c r="I67" i="1"/>
  <c r="I43" i="1"/>
  <c r="I33" i="1"/>
  <c r="I21" i="1" l="1"/>
  <c r="I2" i="1"/>
  <c r="I14" i="1"/>
  <c r="I18" i="1"/>
  <c r="I23" i="1"/>
  <c r="I5" i="1"/>
  <c r="I6" i="1"/>
  <c r="I20" i="1"/>
  <c r="B32" i="1"/>
  <c r="B17" i="1"/>
  <c r="B16" i="1"/>
  <c r="B25" i="1"/>
  <c r="B52" i="1"/>
  <c r="B46" i="1"/>
  <c r="B15" i="1"/>
  <c r="B41" i="1"/>
  <c r="B13" i="1"/>
  <c r="B40" i="1"/>
  <c r="B70" i="1"/>
  <c r="B10" i="1"/>
  <c r="B36" i="1"/>
  <c r="B53" i="1"/>
  <c r="B39" i="1"/>
  <c r="B57" i="1"/>
  <c r="B62" i="1"/>
  <c r="B66" i="1"/>
  <c r="B34" i="1"/>
  <c r="B69" i="1"/>
  <c r="B11" i="1"/>
  <c r="B19" i="1"/>
  <c r="B9" i="1"/>
  <c r="B45" i="1"/>
  <c r="B54" i="1"/>
  <c r="B38" i="1"/>
  <c r="B28" i="1"/>
  <c r="B7" i="1"/>
  <c r="B8" i="1"/>
  <c r="B22" i="1"/>
  <c r="B51" i="1"/>
  <c r="B58" i="1"/>
  <c r="B49" i="1"/>
  <c r="B65" i="1"/>
  <c r="B29" i="1"/>
  <c r="B30" i="1"/>
  <c r="B42" i="1"/>
  <c r="B71" i="1"/>
  <c r="B26" i="1"/>
  <c r="B35" i="1"/>
  <c r="B37" i="1"/>
  <c r="B63" i="1"/>
  <c r="B27" i="1"/>
  <c r="B31" i="1"/>
  <c r="B72" i="1"/>
  <c r="B47" i="1"/>
  <c r="B12" i="1"/>
  <c r="B61" i="1"/>
  <c r="B60" i="1"/>
  <c r="I57" i="1" l="1"/>
  <c r="I45" i="1"/>
  <c r="I49" i="1"/>
  <c r="I40" i="1"/>
  <c r="I39" i="1"/>
  <c r="I38" i="1"/>
  <c r="I34" i="1"/>
  <c r="I11" i="1"/>
  <c r="I69" i="1"/>
  <c r="I63" i="1"/>
  <c r="I58" i="1"/>
  <c r="I30" i="1"/>
  <c r="I29" i="1"/>
  <c r="I66" i="1"/>
  <c r="I19" i="1"/>
  <c r="I7" i="1"/>
  <c r="I10" i="1"/>
  <c r="I28" i="1"/>
  <c r="I9" i="1"/>
  <c r="I8" i="1"/>
  <c r="I70" i="1"/>
  <c r="I62" i="1"/>
  <c r="I65" i="1"/>
  <c r="I26" i="1"/>
  <c r="I54" i="1"/>
  <c r="I37" i="1"/>
  <c r="I52" i="1" l="1"/>
  <c r="I31" i="1"/>
  <c r="I71" i="1"/>
  <c r="I61" i="1"/>
  <c r="I22" i="1"/>
  <c r="I27" i="1"/>
  <c r="I15" i="1"/>
  <c r="I36" i="1"/>
  <c r="I42" i="1"/>
  <c r="I51" i="1"/>
  <c r="I35" i="1"/>
  <c r="I41" i="1"/>
  <c r="I13" i="1"/>
  <c r="I53" i="1"/>
  <c r="I46" i="1"/>
  <c r="I72" i="1"/>
  <c r="I25" i="1"/>
  <c r="I16" i="1"/>
  <c r="I47" i="1"/>
  <c r="I60" i="1"/>
  <c r="I12" i="1"/>
</calcChain>
</file>

<file path=xl/sharedStrings.xml><?xml version="1.0" encoding="utf-8"?>
<sst xmlns="http://schemas.openxmlformats.org/spreadsheetml/2006/main" count="1771" uniqueCount="829">
  <si>
    <t>林若彤之女</t>
  </si>
  <si>
    <t>门诊号</t>
  </si>
  <si>
    <t>出生日期</t>
  </si>
  <si>
    <t>完成脑电图日期</t>
  </si>
  <si>
    <t>赵文娟之子</t>
  </si>
  <si>
    <t>孙敏大女</t>
  </si>
  <si>
    <t>完成脑电图时纠正胎龄</t>
    <phoneticPr fontId="1" type="noConversion"/>
  </si>
  <si>
    <t>2024-07-22</t>
  </si>
  <si>
    <t>2024-07-15</t>
  </si>
  <si>
    <t>2024-06-28</t>
  </si>
  <si>
    <t>2024-07-05</t>
  </si>
  <si>
    <t>2024-07-17</t>
  </si>
  <si>
    <t>2024-07-25</t>
  </si>
  <si>
    <t>2024-08-06</t>
  </si>
  <si>
    <t>2024-08-09</t>
  </si>
  <si>
    <t>2024-08-12</t>
  </si>
  <si>
    <t>2024-08-01</t>
  </si>
  <si>
    <t>2024-08-19</t>
  </si>
  <si>
    <t>2024-08-22</t>
  </si>
  <si>
    <t>2024-08-29</t>
  </si>
  <si>
    <t>2024-10-08</t>
  </si>
  <si>
    <t>2024-10-12</t>
  </si>
  <si>
    <t>2024-10-15</t>
  </si>
  <si>
    <t>2024-10-09</t>
  </si>
  <si>
    <t>2024-10-13</t>
  </si>
  <si>
    <t>2024-10-16</t>
  </si>
  <si>
    <t>2024-10-17</t>
  </si>
  <si>
    <t>2024-10-24</t>
  </si>
  <si>
    <t>2024-09-13</t>
  </si>
  <si>
    <t>2024-08-24</t>
  </si>
  <si>
    <t>2024-06-29</t>
  </si>
  <si>
    <t>2024-06-17</t>
  </si>
  <si>
    <t>2024-07-31</t>
  </si>
  <si>
    <t>2024-08-02</t>
  </si>
  <si>
    <t>2024-07-24</t>
  </si>
  <si>
    <t>2024-09-23</t>
  </si>
  <si>
    <t>2024-09-18</t>
  </si>
  <si>
    <t>2024-09-10</t>
  </si>
  <si>
    <t>2024-09-19</t>
  </si>
  <si>
    <t>2024-09-25</t>
  </si>
  <si>
    <t>2024-08-30</t>
  </si>
  <si>
    <t>36+4</t>
    <phoneticPr fontId="1" type="noConversion"/>
  </si>
  <si>
    <t>完善脑电图时日龄</t>
    <phoneticPr fontId="1" type="noConversion"/>
  </si>
  <si>
    <t>2024-09-03</t>
  </si>
  <si>
    <t>2024-06-07</t>
  </si>
  <si>
    <t>2024-09-16</t>
  </si>
  <si>
    <t>孙伊琼之大子</t>
  </si>
  <si>
    <t>2024-09-17</t>
  </si>
  <si>
    <t>2024-09-12</t>
  </si>
  <si>
    <t>2024-09-24</t>
  </si>
  <si>
    <t>2024-08-16</t>
  </si>
  <si>
    <t>2024-09-04</t>
  </si>
  <si>
    <t>2024-10-03</t>
  </si>
  <si>
    <t xml:space="preserve">喂养方式 1=配方奶 2=低比例母乳喂养组  3=高比例母乳喂养 </t>
    <phoneticPr fontId="1" type="noConversion"/>
  </si>
  <si>
    <t>34+1</t>
    <phoneticPr fontId="1" type="noConversion"/>
  </si>
  <si>
    <t>2024-05-21</t>
  </si>
  <si>
    <t>2024-07-16</t>
  </si>
  <si>
    <t>2024-04-22</t>
  </si>
  <si>
    <t>2024-05-19</t>
  </si>
  <si>
    <t>2024-05-29</t>
  </si>
  <si>
    <t>2024-06-08</t>
  </si>
  <si>
    <t>2024-07-29</t>
  </si>
  <si>
    <t>2024-07-19</t>
  </si>
  <si>
    <t>2024-04-10</t>
  </si>
  <si>
    <t>2024-05-17</t>
  </si>
  <si>
    <t>2024-05-28</t>
  </si>
  <si>
    <t>2024-07-07</t>
  </si>
  <si>
    <t>2024-06-21</t>
  </si>
  <si>
    <t>2024-07-18</t>
  </si>
  <si>
    <t>2024-05-15</t>
  </si>
  <si>
    <t>2024-06-03</t>
  </si>
  <si>
    <t>2024-06-04</t>
  </si>
  <si>
    <t>2024-05-13</t>
  </si>
  <si>
    <t>2024-06-01</t>
  </si>
  <si>
    <t>2024-08-03</t>
  </si>
  <si>
    <t>2024-06-20</t>
  </si>
  <si>
    <t>2024-07-23</t>
  </si>
  <si>
    <t>2024-06-23</t>
  </si>
  <si>
    <t>2024-05-09</t>
  </si>
  <si>
    <t>2024-05-25</t>
  </si>
  <si>
    <t>2024-05-20</t>
  </si>
  <si>
    <t>李晚霞之女</t>
  </si>
  <si>
    <t>2024-07-06</t>
  </si>
  <si>
    <t>2024-07-12</t>
  </si>
  <si>
    <t>2024-06-11</t>
  </si>
  <si>
    <t>2024-06-13</t>
  </si>
  <si>
    <t>35+3</t>
    <phoneticPr fontId="1" type="noConversion"/>
  </si>
  <si>
    <t>蔡玲玲之女（彭昕瑶））</t>
    <phoneticPr fontId="1" type="noConversion"/>
  </si>
  <si>
    <t>张茂江之女/孙雨涵</t>
    <phoneticPr fontId="1" type="noConversion"/>
  </si>
  <si>
    <t>杨银玲之大子</t>
    <phoneticPr fontId="1" type="noConversion"/>
  </si>
  <si>
    <t>张祖善</t>
    <phoneticPr fontId="1" type="noConversion"/>
  </si>
  <si>
    <t>赵叶之大女</t>
    <phoneticPr fontId="1" type="noConversion"/>
  </si>
  <si>
    <t>张士蕊之子</t>
    <phoneticPr fontId="1" type="noConversion"/>
  </si>
  <si>
    <t>贾曾艳之女</t>
    <phoneticPr fontId="1" type="noConversion"/>
  </si>
  <si>
    <t>科研编号</t>
    <phoneticPr fontId="1" type="noConversion"/>
  </si>
  <si>
    <t>孙艳南之子/张宇墨</t>
    <phoneticPr fontId="1" type="noConversion"/>
  </si>
  <si>
    <t>黄丹丹之女/王子沫</t>
    <phoneticPr fontId="1" type="noConversion"/>
  </si>
  <si>
    <t>彭珺之子/陈瑜灏</t>
    <phoneticPr fontId="1" type="noConversion"/>
  </si>
  <si>
    <t>马永珍之子/马云骁</t>
    <phoneticPr fontId="1" type="noConversion"/>
  </si>
  <si>
    <t>张源小女/侍相泽</t>
    <phoneticPr fontId="1" type="noConversion"/>
  </si>
  <si>
    <t>李会财之女/李依潼</t>
    <phoneticPr fontId="1" type="noConversion"/>
  </si>
  <si>
    <t>李士影之子/杨安明</t>
    <phoneticPr fontId="1" type="noConversion"/>
  </si>
  <si>
    <t>姓名</t>
    <phoneticPr fontId="1" type="noConversion"/>
  </si>
  <si>
    <t>刘会丽之子/秦栎鑫</t>
    <phoneticPr fontId="1" type="noConversion"/>
  </si>
  <si>
    <t>刘紫薇之小子/张辰瑞</t>
    <phoneticPr fontId="1" type="noConversion"/>
  </si>
  <si>
    <t>欧阳朝英之子/刘润安</t>
    <phoneticPr fontId="1" type="noConversion"/>
  </si>
  <si>
    <t>谢艳秋之子/周佑安</t>
    <phoneticPr fontId="1" type="noConversion"/>
  </si>
  <si>
    <t>杨周洀/杨周安</t>
    <phoneticPr fontId="1" type="noConversion"/>
  </si>
  <si>
    <t>黄春燕之小女/夏沫</t>
    <phoneticPr fontId="1" type="noConversion"/>
  </si>
  <si>
    <t>张建容之女/钟逸宁</t>
    <phoneticPr fontId="1" type="noConversion"/>
  </si>
  <si>
    <t>李毛妮之女/赵乐一</t>
    <phoneticPr fontId="1" type="noConversion"/>
  </si>
  <si>
    <t>花沁钰之小女/陈孜洁</t>
    <phoneticPr fontId="1" type="noConversion"/>
  </si>
  <si>
    <t>陈佳怡之女/赵清栩</t>
    <phoneticPr fontId="1" type="noConversion"/>
  </si>
  <si>
    <t>刘紫薇之大子/张辰泽</t>
    <phoneticPr fontId="1" type="noConversion"/>
  </si>
  <si>
    <t>赵晓彤之女/吉涵钰</t>
    <phoneticPr fontId="1" type="noConversion"/>
  </si>
  <si>
    <t>何婷之女/黄诗赟</t>
    <phoneticPr fontId="1" type="noConversion"/>
  </si>
  <si>
    <t>李翠英之子/付晚辰</t>
    <phoneticPr fontId="1" type="noConversion"/>
  </si>
  <si>
    <t>石秀之子/潘恒宇</t>
    <phoneticPr fontId="1" type="noConversion"/>
  </si>
  <si>
    <t>金俊凤之女/金璐</t>
    <phoneticPr fontId="1" type="noConversion"/>
  </si>
  <si>
    <t>赵叶之小女/瞿一木</t>
    <phoneticPr fontId="1" type="noConversion"/>
  </si>
  <si>
    <t>向敏之女/张向杨</t>
    <phoneticPr fontId="1" type="noConversion"/>
  </si>
  <si>
    <t>邢燕之女/王嘉卿</t>
    <phoneticPr fontId="1" type="noConversion"/>
  </si>
  <si>
    <t>6.22所示：颅内目前未见明显超声能及之异常。</t>
    <phoneticPr fontId="1" type="noConversion"/>
  </si>
  <si>
    <t>7.16左侧脑室稍大，余脑部MRI未见明显异常；</t>
    <phoneticPr fontId="1" type="noConversion"/>
  </si>
  <si>
    <t>6.27床边超声： 早产儿脑表现。 两侧脑室后角稍大。</t>
    <phoneticPr fontId="1" type="noConversion"/>
  </si>
  <si>
    <t>7.01早产儿脑改变，双侧脑室周围回声增强；左脉络丛前角小囊肿。</t>
    <phoneticPr fontId="1" type="noConversion"/>
  </si>
  <si>
    <t>6.29左侧脑室后角饱满。</t>
    <phoneticPr fontId="1" type="noConversion"/>
  </si>
  <si>
    <t>8.02新生儿脑改变；请结合临床。</t>
    <phoneticPr fontId="1" type="noConversion"/>
  </si>
  <si>
    <t xml:space="preserve">7.2早产儿脑改变。 右室管膜下出血。 </t>
    <phoneticPr fontId="1" type="noConversion"/>
  </si>
  <si>
    <t>7.10床边超声，图像质量欠佳，所示：左侧脉络丛形态欠规则，</t>
    <phoneticPr fontId="1" type="noConversion"/>
  </si>
  <si>
    <t>7.23小脑天幕少许出血？早产儿脑改变；</t>
    <phoneticPr fontId="1" type="noConversion"/>
  </si>
  <si>
    <t>7.15双室管膜下囊肿</t>
    <phoneticPr fontId="1" type="noConversion"/>
  </si>
  <si>
    <t>7.25两枕硬膜下出血</t>
    <phoneticPr fontId="1" type="noConversion"/>
  </si>
  <si>
    <t xml:space="preserve">7.18双侧侧脑室周围回声增强。 </t>
    <phoneticPr fontId="1" type="noConversion"/>
  </si>
  <si>
    <t>7.28颅脑MRI平扫未见明显异常。</t>
    <phoneticPr fontId="1" type="noConversion"/>
  </si>
  <si>
    <t xml:space="preserve">8.02双侧脉络丛形态欠规则，回声欠均匀。 双侧脑室周围回声增强。 左侧脑室后角增大。 </t>
    <phoneticPr fontId="1" type="noConversion"/>
  </si>
  <si>
    <t>8.03颅内目前未见明显超声能及之异常。</t>
    <phoneticPr fontId="1" type="noConversion"/>
  </si>
  <si>
    <t>9.05符合早产儿脑改变；请结合临床。</t>
    <phoneticPr fontId="1" type="noConversion"/>
  </si>
  <si>
    <t xml:space="preserve">9.9左室管膜下出血；透明隔腔增宽；双侧侧脑室形态饱满。 </t>
    <phoneticPr fontId="1" type="noConversion"/>
  </si>
  <si>
    <t>10.19早产儿脑部MRI未见明显异常</t>
    <phoneticPr fontId="1" type="noConversion"/>
  </si>
  <si>
    <t>10.17正常</t>
    <phoneticPr fontId="1" type="noConversion"/>
  </si>
  <si>
    <t>10.17双侧脑室稍欠对称，余早产儿脑部MRI未见明显异常</t>
    <phoneticPr fontId="1" type="noConversion"/>
  </si>
  <si>
    <t>4.12双侧脑室周围回声增强。 大脑前动脉血流请结合临床。</t>
    <phoneticPr fontId="1" type="noConversion"/>
  </si>
  <si>
    <t>5.18符合新生儿脑改变；请结合临床。</t>
    <phoneticPr fontId="1" type="noConversion"/>
  </si>
  <si>
    <t>4.15PVL I级。 大脑前动脉低灌注，RI偏低。</t>
    <phoneticPr fontId="1" type="noConversion"/>
  </si>
  <si>
    <t>5.11符合早产儿脑改变；请结合临床。</t>
    <phoneticPr fontId="1" type="noConversion"/>
  </si>
  <si>
    <t>5.11颅内目前未见明显超声能及之异常。</t>
    <phoneticPr fontId="1" type="noConversion"/>
  </si>
  <si>
    <t xml:space="preserve">5.16早产儿脑改变。双侧脑室周围回声增强欠均匀。 </t>
    <phoneticPr fontId="1" type="noConversion"/>
  </si>
  <si>
    <t>5.20早产儿脑改变；双侧脑室周围回声增强。</t>
    <phoneticPr fontId="1" type="noConversion"/>
  </si>
  <si>
    <t>6.27早产儿脑改变，两侧侧脑室旁白质小斑片损伤灶可能</t>
    <phoneticPr fontId="1" type="noConversion"/>
  </si>
  <si>
    <t>5.23双侧脑室周围回声增强</t>
    <phoneticPr fontId="1" type="noConversion"/>
  </si>
  <si>
    <t>6.5室周假性囊肿考虑</t>
    <phoneticPr fontId="1" type="noConversion"/>
  </si>
  <si>
    <t>5.29 早产儿脑表现。 双侧脑室周围回声增强。 大脑前动脉RI临界值。 额叶处大脑半球间距局部略增宽。</t>
    <phoneticPr fontId="1" type="noConversion"/>
  </si>
  <si>
    <t>7.20早产儿脑改变；请结合临床</t>
    <phoneticPr fontId="1" type="noConversion"/>
  </si>
  <si>
    <t>6.11左侧脑室后角稍大，双侧脑室周围回声增强</t>
    <phoneticPr fontId="1" type="noConversion"/>
  </si>
  <si>
    <t>7.18符合新生儿脑改变；请结合临床。</t>
    <phoneticPr fontId="1" type="noConversion"/>
  </si>
  <si>
    <t xml:space="preserve">5.31左侧侧脑室后角后角稍增大。 双侧侧脑室周围回声增强。 </t>
    <phoneticPr fontId="1" type="noConversion"/>
  </si>
  <si>
    <t>5.31双侧侧脑室周围回声增强。</t>
    <phoneticPr fontId="1" type="noConversion"/>
  </si>
  <si>
    <t>7.05符合新生儿脑改变</t>
    <phoneticPr fontId="1" type="noConversion"/>
  </si>
  <si>
    <t>6.12符合新生儿脑改变</t>
    <phoneticPr fontId="1" type="noConversion"/>
  </si>
  <si>
    <t>6.11所示早产儿脑，双侧脑室周围回声增强</t>
    <phoneticPr fontId="1" type="noConversion"/>
  </si>
  <si>
    <t>7.20早产儿脑改变</t>
    <phoneticPr fontId="1" type="noConversion"/>
  </si>
  <si>
    <t>6.25符合新生儿脑改变</t>
    <phoneticPr fontId="1" type="noConversion"/>
  </si>
  <si>
    <t>6.13双侧脑室后角形态饱满</t>
    <phoneticPr fontId="1" type="noConversion"/>
  </si>
  <si>
    <t>6.7颅内目前未见明显超声能及之异常</t>
    <phoneticPr fontId="1" type="noConversion"/>
  </si>
  <si>
    <t>6.24少量蛛网膜下腔出血</t>
    <phoneticPr fontId="1" type="noConversion"/>
  </si>
  <si>
    <t>6.7所示双侧脑室周围回声增强</t>
    <phoneticPr fontId="1" type="noConversion"/>
  </si>
  <si>
    <t>6.29符合新生儿脑改变</t>
    <phoneticPr fontId="1" type="noConversion"/>
  </si>
  <si>
    <t>6.7 颅内目前未见明显超声能及之异常</t>
    <phoneticPr fontId="1" type="noConversion"/>
  </si>
  <si>
    <t>7.2所示颅内目前未见明显异常</t>
    <phoneticPr fontId="1" type="noConversion"/>
  </si>
  <si>
    <t>6.29双侧脑室周围回声稍增高</t>
    <phoneticPr fontId="1" type="noConversion"/>
  </si>
  <si>
    <t>7.19双侧脑室周围回声增强欠均匀。 大脑前动脉阻力指数偏高。</t>
    <phoneticPr fontId="1" type="noConversion"/>
  </si>
  <si>
    <t>8.21符合新生儿脑改变</t>
    <phoneticPr fontId="1" type="noConversion"/>
  </si>
  <si>
    <t>7.22 双侧脑室周围回声增强。</t>
    <phoneticPr fontId="1" type="noConversion"/>
  </si>
  <si>
    <t>7.26左侧脑室后角稍大。</t>
    <phoneticPr fontId="1" type="noConversion"/>
  </si>
  <si>
    <t>8.3床边超声： 符合早产儿脑表现。</t>
    <phoneticPr fontId="1" type="noConversion"/>
  </si>
  <si>
    <t>8.3颅内目前未见明显超声能及之异常</t>
    <phoneticPr fontId="1" type="noConversion"/>
  </si>
  <si>
    <t>9.10早产儿脑部MRI未见明显异常</t>
    <phoneticPr fontId="1" type="noConversion"/>
  </si>
  <si>
    <t>8.5 颅内目前未见明显超声能及之异常。</t>
    <phoneticPr fontId="1" type="noConversion"/>
  </si>
  <si>
    <t>9.23颅内目前未见明显超声能及之异常</t>
    <phoneticPr fontId="1" type="noConversion"/>
  </si>
  <si>
    <t>9.30早产儿脑改变；两顶、半卵圆中心及胼胝体异常信号，结合病史可符合缺氧缺血脑损伤（HII）表现</t>
    <phoneticPr fontId="1" type="noConversion"/>
  </si>
  <si>
    <t>9.28所示颅内目前未见明显超声能及之异常</t>
    <phoneticPr fontId="1" type="noConversion"/>
  </si>
  <si>
    <t>吴淼之子/吴正奇</t>
    <phoneticPr fontId="1" type="noConversion"/>
  </si>
  <si>
    <t>孙敏之小女</t>
    <phoneticPr fontId="1" type="noConversion"/>
  </si>
  <si>
    <t>李同宇</t>
    <phoneticPr fontId="1" type="noConversion"/>
  </si>
  <si>
    <t>刘平之子</t>
    <phoneticPr fontId="1" type="noConversion"/>
  </si>
  <si>
    <t>刘苗苗之子</t>
    <phoneticPr fontId="1" type="noConversion"/>
  </si>
  <si>
    <t>奚佳清之大女/徐晴</t>
    <phoneticPr fontId="1" type="noConversion"/>
  </si>
  <si>
    <t>张源之大女/侍相安</t>
    <phoneticPr fontId="1" type="noConversion"/>
  </si>
  <si>
    <t>周婷婷之女/沈清瑶</t>
    <phoneticPr fontId="1" type="noConversion"/>
  </si>
  <si>
    <t>霍英伦之女/冯楚骁</t>
    <phoneticPr fontId="1" type="noConversion"/>
  </si>
  <si>
    <t>李苗苗之女/胡欣怡</t>
    <phoneticPr fontId="1" type="noConversion"/>
  </si>
  <si>
    <t>10.19符合早产儿脑改变；请结合临床。</t>
    <phoneticPr fontId="1" type="noConversion"/>
  </si>
  <si>
    <t>9.20双侧脑室周围回声增强不均匀。 左侧脑室后角增大。 左侧脉络丛形态欠规则。</t>
    <phoneticPr fontId="1" type="noConversion"/>
  </si>
  <si>
    <t>8.19双侧脑室周围回声增强</t>
    <phoneticPr fontId="1" type="noConversion"/>
  </si>
  <si>
    <t>7.13 双侧脉络丛形态欠规则， 双侧脑室周围增强</t>
    <phoneticPr fontId="1" type="noConversion"/>
  </si>
  <si>
    <t>9.06两侧顶叶皮层、皮层下多囊性脑软化灶考虑</t>
    <phoneticPr fontId="1" type="noConversion"/>
  </si>
  <si>
    <t>9.27双侧脑室后角增大。 早产儿脑改变。</t>
    <phoneticPr fontId="1" type="noConversion"/>
  </si>
  <si>
    <t>10.31符合早产儿脑改变</t>
    <phoneticPr fontId="1" type="noConversion"/>
  </si>
  <si>
    <t>8.31双脉络丛形态欠规则、回声不均匀，双侧脑室周围回声稍增强</t>
    <phoneticPr fontId="1" type="noConversion"/>
  </si>
  <si>
    <t>计数</t>
    <phoneticPr fontId="1" type="noConversion"/>
  </si>
  <si>
    <t>何昊涵</t>
    <phoneticPr fontId="1" type="noConversion"/>
  </si>
  <si>
    <t>肖斐之女</t>
  </si>
  <si>
    <t>董淑荣之小子</t>
  </si>
  <si>
    <t>陈莹之子</t>
  </si>
  <si>
    <t>印莺之女/李知语</t>
    <phoneticPr fontId="1" type="noConversion"/>
  </si>
  <si>
    <t>王巧真之大女</t>
  </si>
  <si>
    <t>刘玲之子/林瑞洋</t>
    <phoneticPr fontId="1" type="noConversion"/>
  </si>
  <si>
    <t>艾之群之女/余歌谣</t>
    <phoneticPr fontId="1" type="noConversion"/>
  </si>
  <si>
    <t>夏竹莹之大女</t>
  </si>
  <si>
    <t>李文锦之女</t>
  </si>
  <si>
    <t>贾燊垚</t>
  </si>
  <si>
    <t>居燕林之子</t>
  </si>
  <si>
    <t>常辰安</t>
  </si>
  <si>
    <t>马茗泽（杨小雪之子）</t>
  </si>
  <si>
    <t>张济</t>
  </si>
  <si>
    <t>宋亚如之女</t>
  </si>
  <si>
    <t>牛那之女</t>
  </si>
  <si>
    <t>虞巧巧之子</t>
  </si>
  <si>
    <t>许晗汐之子</t>
  </si>
  <si>
    <t>顾祺煜</t>
    <phoneticPr fontId="1" type="noConversion"/>
  </si>
  <si>
    <t>陈慧之女</t>
    <phoneticPr fontId="1" type="noConversion"/>
  </si>
  <si>
    <t>毕恭梅之小女</t>
    <phoneticPr fontId="1" type="noConversion"/>
  </si>
  <si>
    <t>易文捷之子</t>
  </si>
  <si>
    <t>66884006</t>
  </si>
  <si>
    <t>66985083</t>
  </si>
  <si>
    <t>66989508</t>
  </si>
  <si>
    <t>66907802</t>
  </si>
  <si>
    <t>33+5</t>
    <phoneticPr fontId="1" type="noConversion"/>
  </si>
  <si>
    <t>35+4</t>
    <phoneticPr fontId="1" type="noConversion"/>
  </si>
  <si>
    <t>MRI</t>
    <phoneticPr fontId="1" type="noConversion"/>
  </si>
  <si>
    <t>颅超</t>
    <phoneticPr fontId="1" type="noConversion"/>
  </si>
  <si>
    <t>入院日期</t>
    <phoneticPr fontId="3" type="noConversion"/>
  </si>
  <si>
    <t>出生体重（g）</t>
  </si>
  <si>
    <r>
      <t xml:space="preserve">出生体重
分组
</t>
    </r>
    <r>
      <rPr>
        <sz val="10"/>
        <color rgb="FF000000"/>
        <rFont val="宋体"/>
        <family val="3"/>
        <charset val="134"/>
      </rPr>
      <t>＜1000g为</t>
    </r>
    <r>
      <rPr>
        <b/>
        <sz val="10"/>
        <color rgb="FF000000"/>
        <rFont val="宋体"/>
        <family val="3"/>
        <charset val="134"/>
      </rPr>
      <t xml:space="preserve">1 </t>
    </r>
    <r>
      <rPr>
        <sz val="10"/>
        <color rgb="FF000000"/>
        <rFont val="宋体"/>
        <family val="3"/>
        <charset val="134"/>
      </rPr>
      <t>1000~1500g为</t>
    </r>
    <r>
      <rPr>
        <b/>
        <sz val="10"/>
        <color rgb="FF000000"/>
        <rFont val="宋体"/>
        <family val="3"/>
        <charset val="134"/>
      </rPr>
      <t xml:space="preserve">2 </t>
    </r>
    <r>
      <rPr>
        <sz val="10"/>
        <color rgb="FF000000"/>
        <rFont val="宋体"/>
        <family val="3"/>
        <charset val="134"/>
      </rPr>
      <t>＞1500g为</t>
    </r>
    <r>
      <rPr>
        <b/>
        <sz val="10"/>
        <color rgb="FF000000"/>
        <rFont val="宋体"/>
        <family val="3"/>
        <charset val="134"/>
      </rPr>
      <t>3</t>
    </r>
  </si>
  <si>
    <t>出生体重P值 1=＜P3；2=P3-10;3=P10-P50;4=P50-90;5=＞P90</t>
    <phoneticPr fontId="3" type="noConversion"/>
  </si>
  <si>
    <t>出生身长（cm）</t>
    <phoneticPr fontId="1" type="noConversion"/>
  </si>
  <si>
    <t>出生身长P值1=＜P3；2=P3-10;3=P10-P50;4=P50-90;5=＞P90</t>
    <phoneticPr fontId="3" type="noConversion"/>
  </si>
  <si>
    <t>出生头围（cm）</t>
  </si>
  <si>
    <t>出生头围P值1=＜P3；2=P3-10;3=P10-P50;4=P50-90;5=＞P90</t>
    <phoneticPr fontId="3" type="noConversion"/>
  </si>
  <si>
    <r>
      <t xml:space="preserve">性别
</t>
    </r>
    <r>
      <rPr>
        <sz val="10"/>
        <color rgb="FF000000"/>
        <rFont val="宋体"/>
        <family val="3"/>
        <charset val="134"/>
      </rPr>
      <t>男1
女2</t>
    </r>
  </si>
  <si>
    <r>
      <t>宫内窘迫</t>
    </r>
    <r>
      <rPr>
        <sz val="10"/>
        <color rgb="FF000000"/>
        <rFont val="宋体"/>
        <family val="3"/>
        <charset val="134"/>
      </rPr>
      <t>无1 
有2</t>
    </r>
  </si>
  <si>
    <r>
      <t>Apger评分</t>
    </r>
    <r>
      <rPr>
        <sz val="11"/>
        <color rgb="FF000000"/>
        <rFont val="宋体"/>
        <family val="3"/>
        <charset val="134"/>
      </rPr>
      <t>1min</t>
    </r>
  </si>
  <si>
    <r>
      <t>Apger评分</t>
    </r>
    <r>
      <rPr>
        <sz val="11"/>
        <color rgb="FF000000"/>
        <rFont val="宋体"/>
        <family val="3"/>
        <charset val="134"/>
      </rPr>
      <t>5min</t>
    </r>
  </si>
  <si>
    <r>
      <t>分娩方式</t>
    </r>
    <r>
      <rPr>
        <sz val="10"/>
        <color rgb="FF000000"/>
        <rFont val="宋体"/>
        <family val="3"/>
        <charset val="134"/>
      </rPr>
      <t>经阴分娩：1.顺产2 剖宫产</t>
    </r>
    <phoneticPr fontId="1" type="noConversion"/>
  </si>
  <si>
    <t>母亲高血压无1，有2</t>
    <phoneticPr fontId="1" type="noConversion"/>
  </si>
  <si>
    <t>母亲糖尿病无1，有2</t>
    <phoneticPr fontId="1" type="noConversion"/>
  </si>
  <si>
    <t>是否胎膜早破 1=否；2=是</t>
    <phoneticPr fontId="3" type="noConversion"/>
  </si>
  <si>
    <t>母亲年龄</t>
    <phoneticPr fontId="3" type="noConversion"/>
  </si>
  <si>
    <t>产前激素治疗 1=无；2=1疗程；3=2疗程</t>
    <phoneticPr fontId="3" type="noConversion"/>
  </si>
  <si>
    <t>是否绒毛膜羊膜炎1=否；2=是</t>
    <phoneticPr fontId="3" type="noConversion"/>
  </si>
  <si>
    <r>
      <t xml:space="preserve">母亲患基础疾病
</t>
    </r>
    <r>
      <rPr>
        <sz val="10"/>
        <color rgb="FF000000"/>
        <rFont val="宋体"/>
        <family val="3"/>
        <charset val="134"/>
      </rPr>
      <t>无1 贫血2 
胎盘早剥3
前置胎盘4 
原发性高血压5 
原发性糖尿病6 
妊娠期高血压疾病7 妊娠期糖尿病8
心脏病9 感染10
肝病11 肾脏疾病12 性传播疾病13</t>
    </r>
  </si>
  <si>
    <t>出院日期</t>
    <phoneticPr fontId="3" type="noConversion"/>
  </si>
  <si>
    <t>出院时矫正胎龄</t>
    <phoneticPr fontId="3" type="noConversion"/>
  </si>
  <si>
    <t>出院时矫正胎龄（数值）</t>
    <phoneticPr fontId="3" type="noConversion"/>
  </si>
  <si>
    <t>出院诊断</t>
    <phoneticPr fontId="3" type="noConversion"/>
  </si>
  <si>
    <t>出院体重</t>
    <phoneticPr fontId="3" type="noConversion"/>
  </si>
  <si>
    <t>出院体重P值1=＜P3；2=P3-10;3=P10-P50;4=P50-90;5=＞P90</t>
    <phoneticPr fontId="3" type="noConversion"/>
  </si>
  <si>
    <t>出院头围</t>
    <phoneticPr fontId="3" type="noConversion"/>
  </si>
  <si>
    <t>出院头围P值1=＜P3；2=P3-10;3=P10-P50;4=P50-90;5=＞P90</t>
    <phoneticPr fontId="3" type="noConversion"/>
  </si>
  <si>
    <t>出院身长</t>
    <phoneticPr fontId="3" type="noConversion"/>
  </si>
  <si>
    <t>出院身长P值1=＜P3；2=P3-10;3=P10-P50;4=P50-90;5=＞P90</t>
    <phoneticPr fontId="3" type="noConversion"/>
  </si>
  <si>
    <t>1=无脑损伤；2=iii-iv脑室内出血及脑白质软化（根据出生后第一个超声）</t>
    <phoneticPr fontId="3" type="noConversion"/>
  </si>
  <si>
    <t>机械通气1=无；2=有（高频、常频、无创）</t>
    <phoneticPr fontId="1" type="noConversion"/>
  </si>
  <si>
    <t>有创机械通气时间</t>
    <phoneticPr fontId="3" type="noConversion"/>
  </si>
  <si>
    <t>无创机械通气时间</t>
    <phoneticPr fontId="3" type="noConversion"/>
  </si>
  <si>
    <t>禁食时间</t>
    <phoneticPr fontId="3" type="noConversion"/>
  </si>
  <si>
    <t>抗生素使用时间</t>
    <phoneticPr fontId="3" type="noConversion"/>
  </si>
  <si>
    <t>TPN使用时间</t>
    <phoneticPr fontId="3" type="noConversion"/>
  </si>
  <si>
    <t>光疗时间</t>
    <phoneticPr fontId="3" type="noConversion"/>
  </si>
  <si>
    <t>是否使用血管活性药物1=无；2=有</t>
    <phoneticPr fontId="3" type="noConversion"/>
  </si>
  <si>
    <t>是否使用镇静镇痛药物1=无；2=有</t>
    <phoneticPr fontId="3" type="noConversion"/>
  </si>
  <si>
    <t>镇静镇痛药物使用时间</t>
    <phoneticPr fontId="3" type="noConversion"/>
  </si>
  <si>
    <t>是否应用血制品1=无；2=有</t>
    <phoneticPr fontId="3" type="noConversion"/>
  </si>
  <si>
    <t>累计输血量（红细胞</t>
    <phoneticPr fontId="3" type="noConversion"/>
  </si>
  <si>
    <t>是否存在hsPDA</t>
    <phoneticPr fontId="3" type="noConversion"/>
  </si>
  <si>
    <t>是否NEC 1=否；2=是</t>
    <phoneticPr fontId="3" type="noConversion"/>
  </si>
  <si>
    <t>是否BPD  1=否；2=是</t>
    <phoneticPr fontId="3" type="noConversion"/>
  </si>
  <si>
    <t>停氧时间</t>
    <phoneticPr fontId="3" type="noConversion"/>
  </si>
  <si>
    <t>BPD程度 1=轻度；2=中度；3=重度</t>
    <phoneticPr fontId="3" type="noConversion"/>
  </si>
  <si>
    <t>是否ROP  1=否；2=是</t>
    <phoneticPr fontId="3" type="noConversion"/>
  </si>
  <si>
    <t>ROP分期</t>
    <phoneticPr fontId="3" type="noConversion"/>
  </si>
  <si>
    <t>是否败血症</t>
    <phoneticPr fontId="3" type="noConversion"/>
  </si>
  <si>
    <t>捐乳</t>
    <phoneticPr fontId="3" type="noConversion"/>
  </si>
  <si>
    <t>亲乳</t>
    <phoneticPr fontId="3" type="noConversion"/>
  </si>
  <si>
    <t>配方奶</t>
    <phoneticPr fontId="3" type="noConversion"/>
  </si>
  <si>
    <t>蔼尔舒</t>
    <phoneticPr fontId="3" type="noConversion"/>
  </si>
  <si>
    <t>高卡蔼尔舒</t>
    <phoneticPr fontId="3" type="noConversion"/>
  </si>
  <si>
    <t>纽太特</t>
    <phoneticPr fontId="3" type="noConversion"/>
  </si>
  <si>
    <t>高热卡纽太特</t>
    <phoneticPr fontId="3" type="noConversion"/>
  </si>
  <si>
    <t>纽康特</t>
    <phoneticPr fontId="3" type="noConversion"/>
  </si>
  <si>
    <t>特别早产儿奶</t>
    <phoneticPr fontId="3" type="noConversion"/>
  </si>
  <si>
    <t>肠内喂养总量</t>
    <phoneticPr fontId="3" type="noConversion"/>
  </si>
  <si>
    <t>母乳占比（%）</t>
    <phoneticPr fontId="3" type="noConversion"/>
  </si>
  <si>
    <t>是否添加强化剂 1=无；2=是</t>
    <phoneticPr fontId="1" type="noConversion"/>
  </si>
  <si>
    <t>预计2024-07-23 12:00:00 玻璃体药物注射术(双侧)</t>
  </si>
  <si>
    <t>刘苗苗之子/刘昱泽</t>
    <phoneticPr fontId="1" type="noConversion"/>
  </si>
  <si>
    <t>居燕林之子/张硕</t>
    <phoneticPr fontId="1" type="noConversion"/>
  </si>
  <si>
    <t>常辰安</t>
    <phoneticPr fontId="1" type="noConversion"/>
  </si>
  <si>
    <t>牛那之女/杨艺诺</t>
    <phoneticPr fontId="1" type="noConversion"/>
  </si>
  <si>
    <t>宋亚如之女</t>
    <phoneticPr fontId="1" type="noConversion"/>
  </si>
  <si>
    <t>虞巧巧之子/姚善至</t>
    <phoneticPr fontId="1" type="noConversion"/>
  </si>
  <si>
    <t>杜述敏大子/张嘉辰</t>
    <phoneticPr fontId="1" type="noConversion"/>
  </si>
  <si>
    <t>许晗汐之子/张逸辰</t>
    <phoneticPr fontId="1" type="noConversion"/>
  </si>
  <si>
    <t>易文捷之子/易嘉宸</t>
    <phoneticPr fontId="1" type="noConversion"/>
  </si>
  <si>
    <t>毕恭梅之小女/胡茗蒽</t>
    <phoneticPr fontId="1" type="noConversion"/>
  </si>
  <si>
    <t>是否多胎1为否；2为是</t>
    <phoneticPr fontId="1" type="noConversion"/>
  </si>
  <si>
    <t xml:space="preserve"> 妊娠期血小板减少，妊娠期血栓形成 </t>
  </si>
  <si>
    <t>1.早产儿(孕期等于或大于32整周,但小于37整周) 2.低出生体重儿(1500-2499g) 3.新生儿的呼吸窘迫 4.特发于围生期的感染 5.新生儿高胆红素血症 6.房间隔缺损 7.维生素D缺乏</t>
  </si>
  <si>
    <t>两侧额顶叶SWAN低信号影，血管影可能大，少许出血待排；余符合新生儿脑改变</t>
  </si>
  <si>
    <t>高血压\甲减</t>
    <phoneticPr fontId="1" type="noConversion"/>
  </si>
  <si>
    <t>1.早产儿(孕期等于或大于32整周,但小于37整周) 2.极低出生体重儿(1000-1249g) 3.新生儿肺透明膜病 4.乳糖不耐受,其他的</t>
  </si>
  <si>
    <t>MRI
1为无；2为有</t>
    <phoneticPr fontId="1" type="noConversion"/>
  </si>
  <si>
    <t>·1</t>
    <phoneticPr fontId="1" type="noConversion"/>
  </si>
  <si>
    <r>
      <t>产前激素应用情况</t>
    </r>
    <r>
      <rPr>
        <sz val="10"/>
        <color rgb="FF000000"/>
        <rFont val="宋体"/>
        <family val="3"/>
        <charset val="134"/>
      </rPr>
      <t>已用2
未用1 
不详3</t>
    </r>
    <phoneticPr fontId="1" type="noConversion"/>
  </si>
  <si>
    <t>妊娠期糖尿病，宫颈机能不全</t>
  </si>
  <si>
    <t>肠内喂养总量</t>
  </si>
  <si>
    <t>母乳占比（%）</t>
  </si>
  <si>
    <t>妊娠期高血压</t>
  </si>
  <si>
    <t>甲状腺疾病、因尿UU阿奇一疗程，目前仍阳性，白念(+),孕期光滑念珠菌（+）</t>
    <phoneticPr fontId="1" type="noConversion"/>
  </si>
  <si>
    <t>咖啡因</t>
    <phoneticPr fontId="3" type="noConversion"/>
  </si>
  <si>
    <t>血液高凝</t>
  </si>
  <si>
    <t>糖尿病：甲状腺疾病：慢性高血压并发重度子痫前期；膜性肾病；</t>
  </si>
  <si>
    <t>高血压、胆汁淤积、甲减</t>
    <phoneticPr fontId="1" type="noConversion"/>
  </si>
  <si>
    <t>抗磷脂综合征、未分化自身免疫性疾病。甲状腺疾病</t>
  </si>
  <si>
    <t>？</t>
    <phoneticPr fontId="1" type="noConversion"/>
  </si>
  <si>
    <t>极度肥胖</t>
  </si>
  <si>
    <t>2024.7.24</t>
  </si>
  <si>
    <t>糖尿病、高血压、甲减</t>
    <phoneticPr fontId="1" type="noConversion"/>
  </si>
  <si>
    <t>胎盘早剥</t>
    <phoneticPr fontId="1" type="noConversion"/>
  </si>
  <si>
    <t>甲减</t>
    <phoneticPr fontId="1" type="noConversion"/>
  </si>
  <si>
    <t>胎盘早剥、高血压</t>
    <phoneticPr fontId="1" type="noConversion"/>
  </si>
  <si>
    <t>颅脑(MRI平扫)(2024-06-17) 左顶叶点状异常信号，早产儿相关脑损伤可能。</t>
    <phoneticPr fontId="1" type="noConversion"/>
  </si>
  <si>
    <t>感染、肾病综合征（微小病变），右侧卵巢畸胎瘤，左侧多发附件囊性病灶</t>
    <phoneticPr fontId="1" type="noConversion"/>
  </si>
  <si>
    <t>甲状腺功能亢进症，重PE，肝功能损害、左房增大，胎儿8号3体可能，血酮体+，右侧输尿管扩张，双肾积水，LS史，超重</t>
    <phoneticPr fontId="1" type="noConversion"/>
  </si>
  <si>
    <t>2？</t>
    <phoneticPr fontId="1" type="noConversion"/>
  </si>
  <si>
    <t>高血压、胆汁淤积</t>
  </si>
  <si>
    <t>高血压先兆子痫、甲状腺癌术后</t>
    <phoneticPr fontId="1" type="noConversion"/>
  </si>
  <si>
    <t>妊娠期糖尿病、高血压、胆汁淤积、亚甲减、帆状胎盘、胎动减少、双胎选择性FGR</t>
    <phoneticPr fontId="1" type="noConversion"/>
  </si>
  <si>
    <t>颅脑(MRI平扫)(2024-09-13) 符合早产儿脑改变；请结合临床。</t>
    <phoneticPr fontId="1" type="noConversion"/>
  </si>
  <si>
    <t>胎膜早破、呼吸衰竭、胸腔积液、脓毒血症、发热、羊水过少、心功能不全、超高龄经产妇</t>
  </si>
  <si>
    <t>糖尿病</t>
    <phoneticPr fontId="1" type="noConversion"/>
  </si>
  <si>
    <t>高血压、子痫</t>
    <phoneticPr fontId="1" type="noConversion"/>
  </si>
  <si>
    <t>卵巢早衰，遗传性球形红细胞增多症史</t>
  </si>
  <si>
    <t>高血压、甲减</t>
    <phoneticPr fontId="1" type="noConversion"/>
  </si>
  <si>
    <t>高血压、子痫</t>
    <phoneticPr fontId="1" type="noConversion"/>
  </si>
  <si>
    <t>颅脑(MRI平扫)(2024-10-19) 早产儿脑部MRI未见明显异常</t>
  </si>
  <si>
    <t>颅脑(MRI平扫)(2024-10-17) 双侧脑室稍欠对称，两侧脑室前角旁点状异常信号；请结合临床。</t>
  </si>
  <si>
    <t>颅脑(MRI平扫)(2024-10-17) 早产儿脑部MRI未见明显异常；请结合临床。</t>
  </si>
  <si>
    <t>1.起源于围生期的支气管肺发育不良 2.新生儿肺透明膜病 3.凝血功能异常 4.早产儿(孕期等于或大于28整周,但小于32整周) 5.低出生体重儿(1500-2499g) 6.新生儿喂养不耐受 7.新生儿高胆红素血症 8.非创伤性颅内出血 9.新生儿贫血 10.头皮血肿11.房间隔缺损</t>
  </si>
  <si>
    <t>颅脑(MRI平扫)(2024-10-06) 两侧小脑幕少许出血可能；请结合临床。</t>
  </si>
  <si>
    <t>1.早产儿(孕期等于或大于32整周,但小于37整周) 2.低出生体重儿(1500-2499g) 3.新生儿低血糖症 4.新生儿轻度窒息 5.房间隔缺损</t>
  </si>
  <si>
    <t>颅脑(MRI平扫)(2024-10-07) 早产儿改变；左侧脑室饱满；请结合临床。</t>
  </si>
  <si>
    <t>颅腔及颅内段彩色多普勒超声(2024-09-26) 床边超声，图像质量欠佳，所示左侧脑室偏大，右脉络丛头部小囊肿，请结合临床，必要时进一步检查或复查。</t>
  </si>
  <si>
    <t>1.新生儿呼吸衰竭 2.新生儿肺透明膜病 3.起源于围生期的支气管肺发育不良 4.早产儿(孕期等于或大于28整周,但小于32整周) 5.极低出生体重儿(1250-1499g) 6.新生儿高胆红素血症 7.围生期脑损伤 8.房间隔缺损</t>
  </si>
  <si>
    <t>颅脑(MRI平扫)(2024-09-04) 脑桥信号欠均，请结合临床病史考虑。</t>
  </si>
  <si>
    <t>1.早产儿(孕期等于或大于32整周,但小于37整周) 2.极低出生体重儿(1250-1499g) 3.新生儿轻度窒息 4.新生儿肺透明膜病</t>
  </si>
  <si>
    <t>1.早产儿(孕期等于或大于32整周,但小于37整周) 2.低出生体重儿(1500-2499g) 3.新生儿肺透明膜病 4.新生儿高胆红素血症</t>
  </si>
  <si>
    <t>(MRI平扫)(2024-08-26) 早产儿脑部MRI未见明显异常；</t>
  </si>
  <si>
    <t>GDM-A1、重度子痫前期、ICP、左肾囊肿 </t>
  </si>
  <si>
    <t>颅脑(MRI平扫)(2024-07-26) 符合新生儿脑改变；请结合临床</t>
  </si>
  <si>
    <t>1.新生儿肺透明膜病 2.新生儿中度窒息 3.早产儿代谢性骨病 4.原发性肉碱缺乏症(疑似) 5.早产儿(孕期等于或大于28整周,但小于32整周) 6.低出生体重儿(1500-2499g) 7.房间隔缺损</t>
  </si>
  <si>
    <t>颅脑(MRI平扫)(2024-08-01) 颅脑MRI平扫未见明显异常。</t>
  </si>
  <si>
    <t>GDM。，高血压、甲减、地中海贫血</t>
    <phoneticPr fontId="1" type="noConversion"/>
  </si>
  <si>
    <t>1.新生儿肺透明膜病 2.新生儿呼吸衰竭 3.起源于围生期的支气管肺发育不良 4.窦性静止 5.早产儿(孕期等于或大于32整周,但小于37整周) 6.极低出生体重儿(1000-1249g) 7.房间隔缺损 8.鞘膜积液 9.先天性腹股沟斜疝 10.尿道下裂</t>
  </si>
  <si>
    <t>1.新生儿呼吸衰竭 2.新生儿肺透明膜病 3.起源于围生期的支气管肺发育不良 4.新生儿甲状腺功能减退症 5.早产儿视网膜病 6.围生期脑损伤 7.早产儿(孕期等于或大于28整周,但小于32整周) 8.低出生体重儿(1500-2499g) 9.新生儿坏死性小肠结肠炎 10.新生儿高胆红素血症 11.房间隔缺损</t>
  </si>
  <si>
    <t>颅脑(MRI平扫)(2024-08-30) 右侧半卵圆中心、双侧脑室后角周围小损伤灶；左侧小脑小出血灶不能排除</t>
  </si>
  <si>
    <t> 1.早产儿2.低出生体重儿3.新生儿呼吸窘迫综合征4.新生儿持续性肺动脉高压5.新生儿休克 ，</t>
  </si>
  <si>
    <t>1.早产儿(孕期等于或大于28整周,但小于32整周) 2.极低出生体重儿(1250-1499g) 3.新生儿轻度窒息 4.新生儿呼吸衰竭 5.新生儿肺透明膜病 6.新生儿高胆红素血症 7.房间隔缺损 8.新生儿败血症 9.甲状腺功能减退症 10.新生儿贫血 11.母体甲状腺功能减退新生儿 12.试管婴儿 13.心肌损害 14.先天性巨结肠？</t>
  </si>
  <si>
    <t>一胎球拍状胎盘，IVF术后，SA-1、糖尿病</t>
    <phoneticPr fontId="1" type="noConversion"/>
  </si>
  <si>
    <t>1.新生儿肺透明膜病 2.早产儿(孕期等于或大于32整周,但小于37整周) 3.低出生体重儿(1500-2499g) 4.新生儿肺炎 5.新生儿高胆红素血症 6.新生儿败血症 7.房间隔缺损 8.原发性肉碱缺乏症(疑似) 9.围生期脑损伤(疑似)</t>
  </si>
  <si>
    <t>1.早产儿(孕期等于或大于32整周,但小于37整周) 2.低出生体重儿(1500-2499g) 3.新生儿呼吸困难 4.特发于围生期的感染 5.气胸 6.围生期脑损伤 7.新生儿贫血</t>
  </si>
  <si>
    <t>颅脑(MRI平扫)(2024-06-03) 两侧侧脑室旁多发囊性灶，伴局部脑白质损伤可能；请结合临床、随访。</t>
  </si>
  <si>
    <t>双胎妊娠（双绒双羊）、妊娠期合并肥厚性心肌病（左心室肥大伴ST-T改变、室早、左房扩大、心包积液、心功能I级、妊娠期合并结缔组织病（UCTD）、妊娠期合并糖尿病、IVF</t>
  </si>
  <si>
    <t>1.早产儿(孕期等于或大于32整周,但小于37整周) 2.低出生体重儿(1500-2499g) 3.新生儿的呼吸窘迫 4.胎儿宫内生长迟缓 5.母体心肌病新生儿</t>
  </si>
  <si>
    <t>颅脑(MRI平扫)(2024-06-20) 早生儿脑改变；请结合临床。</t>
  </si>
  <si>
    <t>胎膜早破、SA-2、甲减、初产、消瘦、FGR史、GBS+</t>
    <phoneticPr fontId="1" type="noConversion"/>
  </si>
  <si>
    <t>1.新生儿败血症 2.早产儿(孕期等于或大于32整周,但小于37整周) 3.低出生体重儿(1500-2499g) 4.新生儿低氧血症 5.新生儿高胆红素血症 6.房间隔缺损</t>
  </si>
  <si>
    <t>1.早产儿(孕期等于或大于28整周,但小于32整周) 2.极低出生体重儿(1000-1249g) 3.肺出血 4.起源于围生期的支气管肺发育不良 5.新生儿肺透明膜病 6.新生儿败血症 7.新生儿肺炎 8.新生儿贫血 9.先天性甲状腺功能不全 10.新生儿高胆红素血症11.甲状腺功能异常12.新生儿高胆红素血症</t>
  </si>
  <si>
    <t>1.早产儿(孕期等于或大于32整周,但小于37整周) 2.低出生体重儿(1500-2499g) 3.新生儿肺炎 4.新生儿高胆红素血症 5.双胎儿 6.新生儿贫血</t>
  </si>
  <si>
    <t>颅脑(MRI平扫)(2024-06-22) 符合早产儿脑改变；请结合临床。</t>
  </si>
  <si>
    <t>1.新生儿呼吸衰竭 2.早产儿视网膜病 3.新生儿肺透明膜病 4.极低出生体重儿(1000-1249g) 5.早产儿(孕期等于或大于28整周,但小于32整周) 6.新生儿高胆红素血症 7.新生儿甲状腺功能减退症 8.皮肤血管瘤 9.特发于围生期的感染 10.母体妊娠高血压新生儿</t>
  </si>
  <si>
    <t>高血压。，先兆子痫/子痫</t>
  </si>
  <si>
    <t>1.早产儿(孕期等于或大于28整周,但小于32整周) 2.极低出生体重儿(1250-1499g) 3.新生儿肺透明膜病 4.新生儿高胆红素血症 5.房间隔缺损(继发孔型)</t>
  </si>
  <si>
    <t>1.早产儿(孕期等于或大于28整周,但小于32整周) 2.低出生体重儿(1500-2499g) 3.新生儿的呼吸窘迫 4.新生儿高胆红素血症 5.新生儿贫血</t>
  </si>
  <si>
    <t>1.早产儿(孕期等于或大于28整周,但小于32整周) 2.极低出生体重儿(1250-1499g) 3.双胎儿 4.新生儿低氧血症 5.新生儿的呼吸窘迫 6.新生儿肺透明膜病 7.新生儿肺炎 8.动脉导管未闭 9.新生儿坏死性小肠结肠炎 10.新生儿高胆红素血症</t>
  </si>
  <si>
    <t>新生儿呼吸衰竭2.新生儿肺透明膜病3.起源于围生期的支气管肺发育不良4.早产儿视网膜病5.早产儿(孕期等于或大于28整周,但小于32整周)6.极低出生体重儿(1000-1249g)7.新生儿高胆红素血症8.围生期脑损伤</t>
  </si>
  <si>
    <t>1.早产儿(孕期等于或大于32整周,但小于37整周) 2.低出生体重儿(1500-2499g) 3.新生儿肺透明膜病 4.新生儿低血糖症 5.新生儿高胆红素血症 6.房间隔缺损</t>
  </si>
  <si>
    <t>1.早产儿(孕期等于或大于32整周,但小于37整周) 2.低出生体重儿(1500-2499g)</t>
  </si>
  <si>
    <t>1.早产儿(孕期等于或大于32整周,但小于37整周) 2.低出生体重儿(1500-2499g) 3.双胎儿 4.新生儿的呼吸窘迫 5.房间隔缺损</t>
  </si>
  <si>
    <t>1.早产儿(孕期等于或大于32整周,但小于37整周)2.低出生体重儿(1500-2499g)3.新生儿肺透明膜病4.新生儿败血症5.新生儿肺炎6.新生儿休克7.双胎儿8.新生儿病理性黄疸9. 新生儿贫血，10、房间隔缺损11.颅内出血</t>
  </si>
  <si>
    <t>颅脑(MRI平扫)(2024-08-10) 符合新生儿脑改变；双侧小脑半球小出血灶，左侧侧脑室形态略饱满；请结合临床随访。</t>
  </si>
  <si>
    <t>1.早发性败血症 2.新生儿休克 3.新生儿肺透明膜病 4.新生儿肺炎 5.新生儿轻度窒息 6.早产儿(孕期等于或大于32整周,但小于37整周) 7.低出生体重儿(1500-2499g) 8.双胎儿 9.房间隔缺损</t>
  </si>
  <si>
    <t>1.新生儿肺透明膜病2.早产儿(孕期等于或大于28整周,但小于32整周)3.低出生体重儿(1500-2499g)4.新生儿高胆红素血症5.新生儿贫血6.早产儿视网膜病7.围生期脑损伤(可能）8.房间隔缺损(继发孔型)</t>
  </si>
  <si>
    <t>颅脑(MRI平扫)(2024-08-10) 可符合缺氧缺血脑损伤；请结合临床。</t>
  </si>
  <si>
    <t>严重FGR、妊娠合并慢性高血压、瘢痕子宫、GDM</t>
  </si>
  <si>
    <t>1.早产儿(孕期等于或大于28整周,但小于32整周) 2.极低出生体重儿(1000-1249g) 3.新生儿腹胀 4.新生儿贫血 5.房间隔缺损</t>
  </si>
  <si>
    <t>1.新生儿胃穿孔2.新生儿败血症3.脓毒血症4.早产儿(孕期等于或大于32整周,但小于37整周)5.极低出生体重儿(1250-1499g)6.新生儿呼吸衰竭7.新生儿高胆红素血症8.非创伤性颅内出血9.房间隔缺损10.应激性高血糖状态</t>
  </si>
  <si>
    <t>颅脑(MRI平扫)(2024-05-23) 各序列扫描见两侧侧脑室形态可。第三、四脑室形态未见明显异常。中线居中。两侧额颞脑沟稍宽，脑回较光滑。灰白质分界欠清。脑实质信号普遍T1WI偏低、T2WI偏高。MRA示脑底动脉环未见明显异常。上矢状窦局部T1WI信号增高。上矢状窦局部T1WI信号增高；</t>
  </si>
  <si>
    <t xml:space="preserve">4.26双侧脑室后角增大；双侧脑室周围回声增高；右室管膜下小囊肿；/5.04双脉络丛形态不规则。 双室管膜下出血。 </t>
    <phoneticPr fontId="1" type="noConversion"/>
  </si>
  <si>
    <t>1.新生儿肺透明膜病 2.起源于围生期的支气管肺发育不良 3.新生儿肺炎 4.早产儿(孕期等于或大于28整周,但小于32整周) 5.极低出生体重儿(500-999克) 6.早产儿视网膜病 7.新生儿高胆红素血症 8.新生儿贫血 9.房间隔缺损 10.宫外发育迟缓</t>
  </si>
  <si>
    <t>颅脑(MRI平扫)(2024-09-05) 早产儿脑改变；请结合临床。</t>
  </si>
  <si>
    <t>先心病、重度肺动脉高压、心功能II级、亚甲减</t>
  </si>
  <si>
    <t>1.新生儿肺透明膜病2.特发于围生期的感染3.新生儿高胆红素血症4.新生儿贫血5.早产儿(孕期等于或大于32整周,但小于37整周)6.低出生体重儿(1500-2499g)7.房间隔缺损</t>
  </si>
  <si>
    <t>1.早产儿(孕期等于或大于32整周,但小于37整周) 2.极低出生体重儿(1250-1499g) 3.新生儿的呼吸窘迫 4.新生儿高胆红素血症</t>
  </si>
  <si>
    <t>颅脑(MRI平扫)(2024-09-28) 两侧脑室前角旁connatal囊肿。</t>
  </si>
  <si>
    <t>1.早产儿(孕期等于或大于32整周,但小于37整周) 2.低出生体重儿(1500-2499g) 3.新生儿低血糖症 4.新生儿肺透明膜病 5.特发于围生期的感染 6.产瘤</t>
  </si>
  <si>
    <t>颅脑(MRI平扫)(2024-10-11) 颅脑MRI平扫未见明显异常。</t>
  </si>
  <si>
    <t>先兆早产，羊水过少？胎窘，重度FGR，房间隔缺损修补术后，室上性心动过速史</t>
  </si>
  <si>
    <t>1.新生儿肺透明膜病 2.早产儿(孕期等于或大于32整周,但小于37整周) 3.低出生体重儿(1500-2499g) 4.新生儿高胆红素血症 5.房间隔缺损</t>
  </si>
  <si>
    <t>娠合并先天性心脏病（V级，mWHO IV级），妊娠合并重度肺动脉高压（109），妊娠合并房间隔缺损（II孔型），重度三尖瓣反流，血小板减少（95），心包积液</t>
  </si>
  <si>
    <t>1.新生儿肺透明膜病 2.早产儿(孕期等于或大于28整周,但小于32整周) 3.极低出生体重儿(1250-1499g) 4.窒息 5.起源于围生期的支气管肺发育不良 6.新生儿高胆红素血症 7.房间隔缺损</t>
  </si>
  <si>
    <t>1.新生儿肺透明膜病 2.新生儿肺炎 3.新生儿喂养不耐受 4.乳糖不耐受,其他的 5.新生儿高胆红素血症 6.早产儿(孕期等于或大于32整周,但小于37整周) 7.低出生体重儿(1500-2499g) 8.双胎儿</t>
  </si>
  <si>
    <r>
      <t>9.20</t>
    </r>
    <r>
      <rPr>
        <sz val="11"/>
        <color rgb="FF293750"/>
        <rFont val="宋体"/>
        <family val="3"/>
        <charset val="134"/>
      </rPr>
      <t>双侧脑室周围回声增强。 左侧脑室后角增大。 左室管膜下出血可能。</t>
    </r>
    <phoneticPr fontId="1" type="noConversion"/>
  </si>
  <si>
    <t>糖尿病</t>
    <phoneticPr fontId="1" type="noConversion"/>
  </si>
  <si>
    <t>次：新生儿肠梗阻
次：极低出生体重儿(500-999克)
次：早产儿(孕期等于或大于28整周,但小于32整周)
次：早产儿视网膜病
次：起源于围生期的支气管肺发育不良
次：可疑新生儿感染情况的观察
次：非创伤性颅内出血
次：新生儿胆汁淤积症
次：肝损害
次：新生儿肠梗阻
次：极低出生体重儿(500-999克)
次：早产儿(孕期等于或大于28整周,但小于32整周)</t>
    <phoneticPr fontId="1" type="noConversion"/>
  </si>
  <si>
    <t>11.14两侧脑室旁点状异常信号、两侧脑室壁室管膜下出血、后角积血，右侧小脑半球少量出血</t>
    <phoneticPr fontId="1" type="noConversion"/>
  </si>
  <si>
    <t>抗磷脂综合征、甲减</t>
    <phoneticPr fontId="1" type="noConversion"/>
  </si>
  <si>
    <t>NEC、肺透明膜病、肺炎、PDA、法四、甲减、脑损伤</t>
    <phoneticPr fontId="1" type="noConversion"/>
  </si>
  <si>
    <t>NEC
Bell分期 1=IA；2=IB;3=IIA;4=II  B;5=IIIA;6=IIIB</t>
    <phoneticPr fontId="1" type="noConversion"/>
  </si>
  <si>
    <t>PDA、BPD、代谢性骨病、</t>
    <phoneticPr fontId="1" type="noConversion"/>
  </si>
  <si>
    <t>2024-01-20未见明显异常</t>
    <phoneticPr fontId="1" type="noConversion"/>
  </si>
  <si>
    <t>23.10.23未见明显异常</t>
    <phoneticPr fontId="1" type="noConversion"/>
  </si>
  <si>
    <t>血糖及肝功能异常、CRP升高使用抗生素1天</t>
    <phoneticPr fontId="1" type="noConversion"/>
  </si>
  <si>
    <t>肺透明膜病、轻度窒息、甲减、ASD\PDA</t>
    <phoneticPr fontId="1" type="noConversion"/>
  </si>
  <si>
    <t>21.6.12（—）</t>
    <phoneticPr fontId="1" type="noConversion"/>
  </si>
  <si>
    <t>5.3双侧脑室回声增强</t>
    <phoneticPr fontId="1" type="noConversion"/>
  </si>
  <si>
    <t>气胸、围生期感染、肺透明膜病、脑室内出血IV度</t>
    <phoneticPr fontId="1" type="noConversion"/>
  </si>
  <si>
    <t>两侧脑室内积血，两侧脑室室管膜下及旁出血灶，小脑天幕处硬膜下出血，请结合临床复查。</t>
  </si>
  <si>
    <t>2021-07-05早产儿脑改变。 双室管膜下出血。 床边超声，图像质量不佳，建议进一步检查。</t>
    <phoneticPr fontId="1" type="noConversion"/>
  </si>
  <si>
    <t>多囊、宫颈机能不全</t>
    <phoneticPr fontId="1" type="noConversion"/>
  </si>
  <si>
    <t>BPD</t>
    <phoneticPr fontId="1" type="noConversion"/>
  </si>
  <si>
    <t>1.12缺血缺氧脑损伤可能，双侧基底节可以对称性T1W1信号升高</t>
    <phoneticPr fontId="1" type="noConversion"/>
  </si>
  <si>
    <t>11.11未见异常</t>
    <phoneticPr fontId="1" type="noConversion"/>
  </si>
  <si>
    <r>
      <t xml:space="preserve">羊水污染情况
</t>
    </r>
    <r>
      <rPr>
        <sz val="10"/>
        <color rgb="FF000000"/>
        <rFont val="宋体"/>
        <family val="3"/>
        <charset val="134"/>
      </rPr>
      <t>无1
Ⅰ度2
Ⅱ度3
Ⅲ度4
血性5</t>
    </r>
    <phoneticPr fontId="1" type="noConversion"/>
  </si>
  <si>
    <t>高血压、重度PE、脑梗、抗心磷脂综合征</t>
    <phoneticPr fontId="1" type="noConversion"/>
  </si>
  <si>
    <t>NEC、肺透明膜病、败血症、轻度窒息、</t>
    <phoneticPr fontId="1" type="noConversion"/>
  </si>
  <si>
    <t>8.22两侧脑室周围顶叶白质点状损失</t>
    <phoneticPr fontId="1" type="noConversion"/>
  </si>
  <si>
    <t>7.21（——）</t>
    <phoneticPr fontId="1" type="noConversion"/>
  </si>
  <si>
    <t>肺透明膜病、房缺、喂养问题</t>
    <phoneticPr fontId="1" type="noConversion"/>
  </si>
  <si>
    <t>2.19未见异常</t>
    <phoneticPr fontId="1" type="noConversion"/>
  </si>
  <si>
    <t>2.2脉络从形态欠规则</t>
    <phoneticPr fontId="1" type="noConversion"/>
  </si>
  <si>
    <t>感染指标高</t>
    <phoneticPr fontId="1" type="noConversion"/>
  </si>
  <si>
    <t>呼吸窘迫、房缺</t>
    <phoneticPr fontId="1" type="noConversion"/>
  </si>
  <si>
    <t>2.26未见异常</t>
    <phoneticPr fontId="1" type="noConversion"/>
  </si>
  <si>
    <t>2.8未见异常</t>
    <phoneticPr fontId="1" type="noConversion"/>
  </si>
  <si>
    <t>高血压、甲亢</t>
    <phoneticPr fontId="1" type="noConversion"/>
  </si>
  <si>
    <t>肺透明膜病</t>
    <phoneticPr fontId="1" type="noConversion"/>
  </si>
  <si>
    <t>11.300双侧脑室周围回声增强不均</t>
    <phoneticPr fontId="1" type="noConversion"/>
  </si>
  <si>
    <t>1.12未见异常</t>
    <phoneticPr fontId="1" type="noConversion"/>
  </si>
  <si>
    <t>糖尿病、尿道感染</t>
    <phoneticPr fontId="1" type="noConversion"/>
  </si>
  <si>
    <t>NEC、回肠造口状态、BPD、甲减、ROP、颅内出血、病毒性肠炎</t>
    <phoneticPr fontId="1" type="noConversion"/>
  </si>
  <si>
    <t>4.17两侧脑室内出血，两侧侧脑室旁及左侧小脑半球多发损伤半小出血灶</t>
    <phoneticPr fontId="1" type="noConversion"/>
  </si>
  <si>
    <t>1.26未见异常</t>
    <phoneticPr fontId="1" type="noConversion"/>
  </si>
  <si>
    <t>NEC、ROP、回肠造口状态、胆汁淤积症、甲减</t>
    <phoneticPr fontId="1" type="noConversion"/>
  </si>
  <si>
    <t>3.21两侧小脑半球及两侧脑室内、左侧侧脑室室管膜下小出血灶</t>
    <phoneticPr fontId="1" type="noConversion"/>
  </si>
  <si>
    <t>12.08未见异常</t>
    <phoneticPr fontId="1" type="noConversion"/>
  </si>
  <si>
    <t>糖尿病、高血压、肺动脉高压、重度子痫前期</t>
    <phoneticPr fontId="1" type="noConversion"/>
  </si>
  <si>
    <t>肺炎、BPD、PDA结扎术后、甲减</t>
    <phoneticPr fontId="1" type="noConversion"/>
  </si>
  <si>
    <t>3.16未见异常</t>
    <phoneticPr fontId="1" type="noConversion"/>
  </si>
  <si>
    <t>12.16左侧脑室形态饱满，欠规则</t>
    <phoneticPr fontId="1" type="noConversion"/>
  </si>
  <si>
    <t>PCOS、宫颈机能不全</t>
    <phoneticPr fontId="1" type="noConversion"/>
  </si>
  <si>
    <t>呼衰、败血症、BPD、甲减、围生期脑损伤</t>
    <phoneticPr fontId="1" type="noConversion"/>
  </si>
  <si>
    <t>9.8双侧侧脑室周围白质软化、两侧侧脑室后角及第四脑室多发出血灶</t>
    <phoneticPr fontId="1" type="noConversion"/>
  </si>
  <si>
    <t>7.15双侧脑室周围回声增高</t>
    <phoneticPr fontId="1" type="noConversion"/>
  </si>
  <si>
    <t>先兆子痫、SLE、重度PE、APS、脑梗史</t>
    <phoneticPr fontId="1" type="noConversion"/>
  </si>
  <si>
    <t>BPD、败血症、甲减、呼吸系统疾病相关的肺动脉高压、非创伤性颅内出血、肺动脉瓣狭窄、胃食管反流</t>
    <phoneticPr fontId="1" type="noConversion"/>
  </si>
  <si>
    <t>5.15两侧侧脑室后角少许出血</t>
    <phoneticPr fontId="1" type="noConversion"/>
  </si>
  <si>
    <t>2.13双侧脑室周围回声增强、大脑中动脉阻力增高</t>
    <phoneticPr fontId="1" type="noConversion"/>
  </si>
  <si>
    <t>高血压合并重度PE、肺动脉高压</t>
    <phoneticPr fontId="1" type="noConversion"/>
  </si>
  <si>
    <t>肺透明膜病、宫内生长迟缓、BPD、甲减、PDA、血清碱性磷酸酶异常</t>
    <phoneticPr fontId="1" type="noConversion"/>
  </si>
  <si>
    <t>6.13右侧脑室壁生发基陈旧性出血、两侧脑室后角积血、右侧枕硬膜下出血</t>
    <phoneticPr fontId="1" type="noConversion"/>
  </si>
  <si>
    <t>2.8右侧脑室内出血、右侧脉络从形态不规则</t>
    <phoneticPr fontId="1" type="noConversion"/>
  </si>
  <si>
    <t>子痫、甲减</t>
    <phoneticPr fontId="1" type="noConversion"/>
  </si>
  <si>
    <t>BPD、颅内出血</t>
    <phoneticPr fontId="1" type="noConversion"/>
  </si>
  <si>
    <t>11.23两侧硬膜下出血、右侧小脑半球出血</t>
    <phoneticPr fontId="1" type="noConversion"/>
  </si>
  <si>
    <t>10.19未见异常</t>
    <phoneticPr fontId="1" type="noConversion"/>
  </si>
  <si>
    <t>糖尿病、重度子痫肥胖症</t>
    <phoneticPr fontId="1" type="noConversion"/>
  </si>
  <si>
    <t>先天性遗传代谢病可能？</t>
    <phoneticPr fontId="1" type="noConversion"/>
  </si>
  <si>
    <t>7.27（-）</t>
    <phoneticPr fontId="1" type="noConversion"/>
  </si>
  <si>
    <t>7.13（—）</t>
    <phoneticPr fontId="1" type="noConversion"/>
  </si>
  <si>
    <t>糖尿病、高血压、肝内胆汁淤积、子痫</t>
    <phoneticPr fontId="1" type="noConversion"/>
  </si>
  <si>
    <t>先天性十二指肠闭锁、十二指肠粘连、VSD\ASD</t>
    <phoneticPr fontId="1" type="noConversion"/>
  </si>
  <si>
    <t>5.24（-）</t>
    <phoneticPr fontId="1" type="noConversion"/>
  </si>
  <si>
    <t>4.22双侧脑室回声增强</t>
    <phoneticPr fontId="1" type="noConversion"/>
  </si>
  <si>
    <t>胎盘早剥</t>
    <phoneticPr fontId="1" type="noConversion"/>
  </si>
  <si>
    <t>肺透明膜病、窒息、围生期脑损伤</t>
    <phoneticPr fontId="1" type="noConversion"/>
  </si>
  <si>
    <t>11.24早产儿缺血缺氧脑损伤可能</t>
    <phoneticPr fontId="1" type="noConversion"/>
  </si>
  <si>
    <t>11.09两侧脑室周围回声增高</t>
    <phoneticPr fontId="1" type="noConversion"/>
  </si>
  <si>
    <t>宫颈机能不全、宫颈原位癌术后、发热、</t>
    <phoneticPr fontId="1" type="noConversion"/>
  </si>
  <si>
    <t>NEC、ROP、败血症、肺炎</t>
    <phoneticPr fontId="1" type="noConversion"/>
  </si>
  <si>
    <t>11.08阴性</t>
    <phoneticPr fontId="1" type="noConversion"/>
  </si>
  <si>
    <t>10.5早产儿脑改变</t>
    <phoneticPr fontId="1" type="noConversion"/>
  </si>
  <si>
    <t>肺透明膜病、气胸、甲减</t>
    <phoneticPr fontId="1" type="noConversion"/>
  </si>
  <si>
    <t>12.09阴性</t>
    <phoneticPr fontId="1" type="noConversion"/>
  </si>
  <si>
    <t>10.28阴性</t>
    <phoneticPr fontId="1" type="noConversion"/>
  </si>
  <si>
    <t>胎盘早剥、宫颈机能不全</t>
    <phoneticPr fontId="1" type="noConversion"/>
  </si>
  <si>
    <t>BPD、肺透明膜病、窒息、脑损伤</t>
    <phoneticPr fontId="1" type="noConversion"/>
  </si>
  <si>
    <t>3.9两侧脑室前角旁点状异常信号</t>
    <phoneticPr fontId="1" type="noConversion"/>
  </si>
  <si>
    <t>12.27早产儿脑改变</t>
    <phoneticPr fontId="1" type="noConversion"/>
  </si>
  <si>
    <t>中度窒息、非创伤性脑损伤</t>
    <phoneticPr fontId="1" type="noConversion"/>
  </si>
  <si>
    <t>3.27两侧室管膜下、右枕页小斑片出血、i四脑室及两侧脑室内出血、左枕少量硬膜下出血</t>
    <phoneticPr fontId="1" type="noConversion"/>
  </si>
  <si>
    <t>2.9左室管膜下出血伴小囊肿形成，右侧脉络从后角出血待排</t>
    <phoneticPr fontId="1" type="noConversion"/>
  </si>
  <si>
    <t>8.28脑沟脑回显示不清</t>
    <phoneticPr fontId="1" type="noConversion"/>
  </si>
  <si>
    <t>36</t>
    <phoneticPr fontId="1" type="noConversion"/>
  </si>
  <si>
    <r>
      <t>1.</t>
    </r>
    <r>
      <rPr>
        <sz val="12"/>
        <color theme="1"/>
        <rFont val="宋体"/>
        <family val="3"/>
        <charset val="134"/>
      </rPr>
      <t>起源于围生期的支气管肺发育不良</t>
    </r>
    <r>
      <rPr>
        <sz val="12"/>
        <color theme="1"/>
        <rFont val="Times New Roman"/>
        <family val="1"/>
      </rPr>
      <t> 2.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 3.</t>
    </r>
    <r>
      <rPr>
        <sz val="12"/>
        <color theme="1"/>
        <rFont val="宋体"/>
        <family val="3"/>
        <charset val="134"/>
      </rPr>
      <t>新生儿喂养不耐受</t>
    </r>
    <r>
      <rPr>
        <sz val="12"/>
        <color theme="1"/>
        <rFont val="Times New Roman"/>
        <family val="1"/>
      </rPr>
      <t> 4.</t>
    </r>
    <r>
      <rPr>
        <sz val="12"/>
        <color theme="1"/>
        <rFont val="宋体"/>
        <family val="3"/>
        <charset val="134"/>
      </rPr>
      <t>早产儿视网膜病</t>
    </r>
    <r>
      <rPr>
        <sz val="12"/>
        <color theme="1"/>
        <rFont val="Times New Roman"/>
        <family val="1"/>
      </rPr>
      <t> 5.</t>
    </r>
    <r>
      <rPr>
        <sz val="12"/>
        <color theme="1"/>
        <rFont val="宋体"/>
        <family val="3"/>
        <charset val="134"/>
      </rPr>
      <t>新生儿甲状腺功能减退症</t>
    </r>
    <r>
      <rPr>
        <sz val="12"/>
        <color theme="1"/>
        <rFont val="Times New Roman"/>
        <family val="1"/>
      </rPr>
      <t> 6.</t>
    </r>
    <r>
      <rPr>
        <sz val="12"/>
        <color theme="1"/>
        <rFont val="宋体"/>
        <family val="3"/>
        <charset val="134"/>
      </rPr>
      <t>新生儿高胆红素血症</t>
    </r>
    <r>
      <rPr>
        <sz val="12"/>
        <color theme="1"/>
        <rFont val="Times New Roman"/>
        <family val="1"/>
      </rPr>
      <t> 7.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37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8.</t>
    </r>
    <r>
      <rPr>
        <sz val="12"/>
        <color theme="1"/>
        <rFont val="宋体"/>
        <family val="3"/>
        <charset val="134"/>
      </rPr>
      <t>极低出生体重儿</t>
    </r>
    <r>
      <rPr>
        <sz val="12"/>
        <color theme="1"/>
        <rFont val="Times New Roman"/>
        <family val="1"/>
      </rPr>
      <t>(1250-1499g) 9.</t>
    </r>
    <r>
      <rPr>
        <sz val="12"/>
        <color theme="1"/>
        <rFont val="宋体"/>
        <family val="3"/>
        <charset val="134"/>
      </rPr>
      <t>特发于围生期的感染</t>
    </r>
    <r>
      <rPr>
        <sz val="12"/>
        <color theme="1"/>
        <rFont val="Times New Roman"/>
        <family val="1"/>
      </rPr>
      <t> 10.</t>
    </r>
    <r>
      <rPr>
        <sz val="12"/>
        <color theme="1"/>
        <rFont val="宋体"/>
        <family val="3"/>
        <charset val="134"/>
      </rPr>
      <t>房间隔缺损</t>
    </r>
    <r>
      <rPr>
        <sz val="12"/>
        <color theme="1"/>
        <rFont val="Times New Roman"/>
        <family val="1"/>
      </rPr>
      <t> 11.</t>
    </r>
    <r>
      <rPr>
        <sz val="12"/>
        <color theme="1"/>
        <rFont val="宋体"/>
        <family val="3"/>
        <charset val="134"/>
      </rPr>
      <t>新生儿贫血</t>
    </r>
    <r>
      <rPr>
        <sz val="12"/>
        <color theme="1"/>
        <rFont val="Times New Roman"/>
        <family val="1"/>
      </rPr>
      <t>12.</t>
    </r>
    <r>
      <rPr>
        <sz val="12"/>
        <color theme="1"/>
        <rFont val="宋体"/>
        <family val="3"/>
        <charset val="134"/>
      </rPr>
      <t>先天性遗传代谢疾病？</t>
    </r>
    <r>
      <rPr>
        <sz val="12"/>
        <color theme="1"/>
        <rFont val="Times New Roman"/>
        <family val="1"/>
      </rPr>
      <t>13.</t>
    </r>
    <r>
      <rPr>
        <sz val="12"/>
        <color theme="1"/>
        <rFont val="宋体"/>
        <family val="3"/>
        <charset val="134"/>
      </rPr>
      <t>双胎儿</t>
    </r>
  </si>
  <si>
    <t>出生胎龄</t>
    <phoneticPr fontId="1" type="noConversion"/>
  </si>
  <si>
    <t>35+1</t>
    <phoneticPr fontId="1" type="noConversion"/>
  </si>
  <si>
    <t>37+5</t>
    <phoneticPr fontId="1" type="noConversion"/>
  </si>
  <si>
    <t>机械通气总天数</t>
    <phoneticPr fontId="1" type="noConversion"/>
  </si>
  <si>
    <t>36+6</t>
    <phoneticPr fontId="1" type="noConversion"/>
  </si>
  <si>
    <t>朱燕之女/陆文汐</t>
    <phoneticPr fontId="1" type="noConversion"/>
  </si>
  <si>
    <t>倪思为</t>
  </si>
  <si>
    <t>张锦大女</t>
  </si>
  <si>
    <t>焦语涵</t>
    <phoneticPr fontId="3" type="noConversion"/>
  </si>
  <si>
    <t>雷皓之子</t>
    <phoneticPr fontId="3" type="noConversion"/>
  </si>
  <si>
    <t>路琪之女</t>
    <phoneticPr fontId="3" type="noConversion"/>
  </si>
  <si>
    <t>汤皓轩</t>
    <phoneticPr fontId="3" type="noConversion"/>
  </si>
  <si>
    <t>王娟娟之女</t>
    <phoneticPr fontId="3" type="noConversion"/>
  </si>
  <si>
    <t>吴迪之女</t>
    <phoneticPr fontId="3" type="noConversion"/>
  </si>
  <si>
    <t>张玉之子</t>
    <phoneticPr fontId="3" type="noConversion"/>
  </si>
  <si>
    <t>周烁之女</t>
    <phoneticPr fontId="3" type="noConversion"/>
  </si>
  <si>
    <t>周燕之子</t>
    <phoneticPr fontId="3" type="noConversion"/>
  </si>
  <si>
    <t>2024-12-12 </t>
  </si>
  <si>
    <t>36+3</t>
    <phoneticPr fontId="1" type="noConversion"/>
  </si>
  <si>
    <t>37+0</t>
    <phoneticPr fontId="1" type="noConversion"/>
  </si>
  <si>
    <t>35+2</t>
    <phoneticPr fontId="1" type="noConversion"/>
  </si>
  <si>
    <t>36+2</t>
    <phoneticPr fontId="1" type="noConversion"/>
  </si>
  <si>
    <t>37+6</t>
    <phoneticPr fontId="1" type="noConversion"/>
  </si>
  <si>
    <t>36+1</t>
    <phoneticPr fontId="1" type="noConversion"/>
  </si>
  <si>
    <t>38+2</t>
    <phoneticPr fontId="1" type="noConversion"/>
  </si>
  <si>
    <t>39+0</t>
    <phoneticPr fontId="1" type="noConversion"/>
  </si>
  <si>
    <t>37+1</t>
    <phoneticPr fontId="1" type="noConversion"/>
  </si>
  <si>
    <t>40+6</t>
    <phoneticPr fontId="1" type="noConversion"/>
  </si>
  <si>
    <t>37+3</t>
    <phoneticPr fontId="1" type="noConversion"/>
  </si>
  <si>
    <t>38+0</t>
    <phoneticPr fontId="1" type="noConversion"/>
  </si>
  <si>
    <t>38+1</t>
    <phoneticPr fontId="1" type="noConversion"/>
  </si>
  <si>
    <t>37+2</t>
    <phoneticPr fontId="1" type="noConversion"/>
  </si>
  <si>
    <t>34+4</t>
    <phoneticPr fontId="1" type="noConversion"/>
  </si>
  <si>
    <t>35+5</t>
    <phoneticPr fontId="1" type="noConversion"/>
  </si>
  <si>
    <t>35+6</t>
    <phoneticPr fontId="1" type="noConversion"/>
  </si>
  <si>
    <t>36+5</t>
    <phoneticPr fontId="1" type="noConversion"/>
  </si>
  <si>
    <t>36+0</t>
    <phoneticPr fontId="1" type="noConversion"/>
  </si>
  <si>
    <t>37+4</t>
    <phoneticPr fontId="1" type="noConversion"/>
  </si>
  <si>
    <t>38+4</t>
    <phoneticPr fontId="1" type="noConversion"/>
  </si>
  <si>
    <t>44+0</t>
    <phoneticPr fontId="1" type="noConversion"/>
  </si>
  <si>
    <t>38+5</t>
    <phoneticPr fontId="1" type="noConversion"/>
  </si>
  <si>
    <t>39+1</t>
    <phoneticPr fontId="1" type="noConversion"/>
  </si>
  <si>
    <t>GDM\高血压</t>
    <phoneticPr fontId="1" type="noConversion"/>
  </si>
  <si>
    <r>
      <t>1.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37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2.</t>
    </r>
    <r>
      <rPr>
        <sz val="12"/>
        <color theme="1"/>
        <rFont val="宋体"/>
        <family val="3"/>
        <charset val="134"/>
      </rPr>
      <t>低出生体重儿</t>
    </r>
    <r>
      <rPr>
        <sz val="12"/>
        <color theme="1"/>
        <rFont val="Times New Roman"/>
        <family val="1"/>
      </rPr>
      <t>(1500-2499g) 3.</t>
    </r>
    <r>
      <rPr>
        <sz val="12"/>
        <color theme="1"/>
        <rFont val="宋体"/>
        <family val="3"/>
        <charset val="134"/>
      </rPr>
      <t>新生儿的呼吸窘迫</t>
    </r>
    <r>
      <rPr>
        <sz val="12"/>
        <color theme="1"/>
        <rFont val="Times New Roman"/>
        <family val="1"/>
      </rPr>
      <t> 4.</t>
    </r>
    <r>
      <rPr>
        <sz val="12"/>
        <color theme="1"/>
        <rFont val="宋体"/>
        <family val="3"/>
        <charset val="134"/>
      </rPr>
      <t>母体妊娠高血压新生儿</t>
    </r>
    <r>
      <rPr>
        <sz val="12"/>
        <color theme="1"/>
        <rFont val="Times New Roman"/>
        <family val="1"/>
      </rPr>
      <t> 5.</t>
    </r>
    <r>
      <rPr>
        <sz val="12"/>
        <color theme="1"/>
        <rFont val="宋体"/>
        <family val="3"/>
        <charset val="134"/>
      </rPr>
      <t>非创伤性颅内出血</t>
    </r>
    <r>
      <rPr>
        <sz val="12"/>
        <color theme="1"/>
        <rFont val="Times New Roman"/>
        <family val="1"/>
      </rPr>
      <t> 6.</t>
    </r>
    <r>
      <rPr>
        <sz val="12"/>
        <color theme="1"/>
        <rFont val="宋体"/>
        <family val="3"/>
        <charset val="134"/>
      </rPr>
      <t>房间隔缺损</t>
    </r>
  </si>
  <si>
    <r>
      <t>6.22</t>
    </r>
    <r>
      <rPr>
        <sz val="12"/>
        <color theme="1"/>
        <rFont val="宋体"/>
        <family val="3"/>
        <charset val="134"/>
      </rPr>
      <t>两侧侧脑室内出血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积血，两侧侧脑室增大；两枕少量硬膜下出血；早产儿脑改变；请结合临床。</t>
    </r>
  </si>
  <si>
    <t>6.3床边超声： 双侧室管膜下出血吸收中。 左侧脉络丛充血？ 右侧脑室增大。 双侧脑室周围回声增强。 大脑前动脉RI偏低。 请结合临床，必要时进一步检查或复查。</t>
  </si>
  <si>
    <t>5.23缺氧缺血脑损伤，双侧侧脑室后角及右侧侧脑室室管膜下积血</t>
  </si>
  <si>
    <t>5.14右室管膜下出血。</t>
  </si>
  <si>
    <t>4.5颅内目前未见明显超声能及之异常。</t>
  </si>
  <si>
    <r>
      <t>11.24</t>
    </r>
    <r>
      <rPr>
        <sz val="11"/>
        <color theme="1"/>
        <rFont val="宋体"/>
        <family val="3"/>
        <charset val="134"/>
      </rPr>
      <t>两侧侧脑室后角内少许积血；请结合临床。</t>
    </r>
  </si>
  <si>
    <t>11.28颅脑MRI平扫未见明显异常。</t>
  </si>
  <si>
    <t>11.15床边超声： 双侧脑室周围回声增强，</t>
  </si>
  <si>
    <t>10.10早产儿脑改变，双侧脑室周围回声增高</t>
  </si>
  <si>
    <t>11.21颅内目前未见明显超声能及之异常。</t>
  </si>
  <si>
    <t>11.20双脉络丛稍增宽。</t>
  </si>
  <si>
    <t>1.4符合新生儿脑改变；请结合临床。</t>
  </si>
  <si>
    <t>10.18床边超声： 早产儿脑。 双脉络丛形态欠规则。 双侧脑室周围回声增强。</t>
  </si>
  <si>
    <t>12.20符合新生儿脑改变；请结合临床。</t>
  </si>
  <si>
    <t>12.04所示颅内目前未见明显超声能及之异常。</t>
  </si>
  <si>
    <t>1.8早产儿脑部MRI未见明显异常</t>
  </si>
  <si>
    <t xml:space="preserve">11.25早产儿脑表现，双侧侧脑室周围回声增强，双侧脑室后角形态饱满。 大脑前动脉流速偏低。 </t>
  </si>
  <si>
    <t>10.18床边超声： 双脉络丛形态欠规则。 双侧脑室周围回声增强。</t>
  </si>
  <si>
    <t>颅脑(MRI平扫)(2024-08-31) 两侧基底节区、半卵圆中心、侧脑室后角多发脑损伤灶；余符合早产儿脑改变；请结合临床。</t>
    <phoneticPr fontId="1" type="noConversion"/>
  </si>
  <si>
    <t xml:space="preserve">脑损伤具体分类描述
1）无
2）脑白质点状损伤
3）脑室周围白质软化(PVL)
4）1-2度颅内出血  5)三度及以上颅内出血
</t>
    <phoneticPr fontId="1" type="noConversion"/>
  </si>
  <si>
    <t>高血压\胎膜早破</t>
    <phoneticPr fontId="1" type="noConversion"/>
  </si>
  <si>
    <r>
      <t>1.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37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2.</t>
    </r>
    <r>
      <rPr>
        <sz val="12"/>
        <color theme="1"/>
        <rFont val="宋体"/>
        <family val="3"/>
        <charset val="134"/>
      </rPr>
      <t>低出生体重儿</t>
    </r>
    <r>
      <rPr>
        <sz val="12"/>
        <color theme="1"/>
        <rFont val="Times New Roman"/>
        <family val="1"/>
      </rPr>
      <t>(1500-2499g) 3.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 4.</t>
    </r>
    <r>
      <rPr>
        <sz val="12"/>
        <color theme="1"/>
        <rFont val="宋体"/>
        <family val="3"/>
        <charset val="134"/>
      </rPr>
      <t>特发于围生期的感染</t>
    </r>
    <r>
      <rPr>
        <sz val="12"/>
        <color theme="1"/>
        <rFont val="Times New Roman"/>
        <family val="1"/>
      </rPr>
      <t> 5.</t>
    </r>
    <r>
      <rPr>
        <sz val="12"/>
        <color theme="1"/>
        <rFont val="宋体"/>
        <family val="3"/>
        <charset val="134"/>
      </rPr>
      <t>新生儿高胆红素血症</t>
    </r>
    <r>
      <rPr>
        <sz val="12"/>
        <color theme="1"/>
        <rFont val="Times New Roman"/>
        <family val="1"/>
      </rPr>
      <t> 6.</t>
    </r>
    <r>
      <rPr>
        <sz val="12"/>
        <color theme="1"/>
        <rFont val="宋体"/>
        <family val="3"/>
        <charset val="134"/>
      </rPr>
      <t>新生儿低血糖症</t>
    </r>
    <r>
      <rPr>
        <sz val="12"/>
        <color theme="1"/>
        <rFont val="Times New Roman"/>
        <family val="1"/>
      </rPr>
      <t> 7.</t>
    </r>
    <r>
      <rPr>
        <sz val="12"/>
        <color theme="1"/>
        <rFont val="宋体"/>
        <family val="3"/>
        <charset val="134"/>
      </rPr>
      <t>胎儿和新生儿脑室内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非创伤性</t>
    </r>
    <r>
      <rPr>
        <sz val="12"/>
        <color theme="1"/>
        <rFont val="Times New Roman"/>
        <family val="1"/>
      </rPr>
      <t>)</t>
    </r>
    <r>
      <rPr>
        <sz val="12"/>
        <color theme="1"/>
        <rFont val="宋体"/>
        <family val="3"/>
        <charset val="134"/>
      </rPr>
      <t>出血，Ⅱ度</t>
    </r>
    <r>
      <rPr>
        <sz val="12"/>
        <color theme="1"/>
        <rFont val="Times New Roman"/>
        <family val="1"/>
      </rPr>
      <t> 8.</t>
    </r>
    <r>
      <rPr>
        <sz val="12"/>
        <color theme="1"/>
        <rFont val="宋体"/>
        <family val="3"/>
        <charset val="134"/>
      </rPr>
      <t>围生期脑损伤</t>
    </r>
    <r>
      <rPr>
        <sz val="12"/>
        <color theme="1"/>
        <rFont val="Times New Roman"/>
        <family val="1"/>
      </rPr>
      <t> 6.</t>
    </r>
    <r>
      <rPr>
        <sz val="12"/>
        <color theme="1"/>
        <rFont val="宋体"/>
        <family val="3"/>
        <charset val="134"/>
      </rPr>
      <t>宫内感染</t>
    </r>
  </si>
  <si>
    <t>前置胎盘</t>
    <phoneticPr fontId="1" type="noConversion"/>
  </si>
  <si>
    <r>
      <t>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2.</t>
    </r>
    <r>
      <rPr>
        <sz val="12"/>
        <color theme="1"/>
        <rFont val="宋体"/>
        <family val="3"/>
        <charset val="134"/>
      </rPr>
      <t>低出生体重儿</t>
    </r>
    <r>
      <rPr>
        <sz val="12"/>
        <color theme="1"/>
        <rFont val="Times New Roman"/>
        <family val="1"/>
      </rPr>
      <t>(1500-2499g) 3.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 4.</t>
    </r>
    <r>
      <rPr>
        <sz val="12"/>
        <color theme="1"/>
        <rFont val="宋体"/>
        <family val="3"/>
        <charset val="134"/>
      </rPr>
      <t>可疑新生儿感染情况的观察</t>
    </r>
    <r>
      <rPr>
        <sz val="12"/>
        <color theme="1"/>
        <rFont val="Times New Roman"/>
        <family val="1"/>
      </rPr>
      <t> 5.</t>
    </r>
    <r>
      <rPr>
        <sz val="12"/>
        <color theme="1"/>
        <rFont val="宋体"/>
        <family val="3"/>
        <charset val="134"/>
      </rPr>
      <t>双胎儿</t>
    </r>
  </si>
  <si>
    <r>
      <t>颅脑</t>
    </r>
    <r>
      <rPr>
        <sz val="12"/>
        <color theme="1"/>
        <rFont val="Times New Roman"/>
        <family val="1"/>
      </rPr>
      <t>(MRI</t>
    </r>
    <r>
      <rPr>
        <sz val="12"/>
        <color theme="1"/>
        <rFont val="宋体"/>
        <family val="3"/>
        <charset val="134"/>
      </rPr>
      <t>平扫</t>
    </r>
    <r>
      <rPr>
        <sz val="12"/>
        <color theme="1"/>
        <rFont val="Times New Roman"/>
        <family val="1"/>
      </rPr>
      <t>)(2024-05-11) </t>
    </r>
    <r>
      <rPr>
        <sz val="12"/>
        <color theme="1"/>
        <rFont val="宋体"/>
        <family val="3"/>
        <charset val="134"/>
      </rPr>
      <t>双侧侧脑室后角周围多发脑损伤灶；早产儿脑改变；请结合临床。</t>
    </r>
  </si>
  <si>
    <t>是否存在甲状腺功能减退</t>
    <phoneticPr fontId="3" type="noConversion"/>
  </si>
  <si>
    <t>母乳占比（%）</t>
    <phoneticPr fontId="1" type="noConversion"/>
  </si>
  <si>
    <r>
      <t>1.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2.</t>
    </r>
    <r>
      <rPr>
        <sz val="12"/>
        <color theme="1"/>
        <rFont val="宋体"/>
        <family val="3"/>
        <charset val="134"/>
      </rPr>
      <t>极低出生体重儿</t>
    </r>
    <r>
      <rPr>
        <sz val="12"/>
        <color theme="1"/>
        <rFont val="Times New Roman"/>
        <family val="1"/>
      </rPr>
      <t>(1000-1249g) 3.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 4.</t>
    </r>
    <r>
      <rPr>
        <sz val="12"/>
        <color theme="1"/>
        <rFont val="宋体"/>
        <family val="3"/>
        <charset val="134"/>
      </rPr>
      <t>病毒性肠炎</t>
    </r>
    <r>
      <rPr>
        <sz val="12"/>
        <color theme="1"/>
        <rFont val="Times New Roman"/>
        <family val="1"/>
      </rPr>
      <t> 5.</t>
    </r>
    <r>
      <rPr>
        <sz val="12"/>
        <color theme="1"/>
        <rFont val="宋体"/>
        <family val="3"/>
        <charset val="134"/>
      </rPr>
      <t>新生儿贫血</t>
    </r>
    <r>
      <rPr>
        <sz val="12"/>
        <color theme="1"/>
        <rFont val="Times New Roman"/>
        <family val="1"/>
      </rPr>
      <t> 6.</t>
    </r>
    <r>
      <rPr>
        <sz val="12"/>
        <color theme="1"/>
        <rFont val="宋体"/>
        <family val="3"/>
        <charset val="134"/>
      </rPr>
      <t>肠套叠</t>
    </r>
    <r>
      <rPr>
        <sz val="12"/>
        <color theme="1"/>
        <rFont val="Times New Roman"/>
        <family val="1"/>
      </rPr>
      <t> 7.</t>
    </r>
    <r>
      <rPr>
        <sz val="12"/>
        <color theme="1"/>
        <rFont val="宋体"/>
        <family val="3"/>
        <charset val="134"/>
      </rPr>
      <t>非创伤性颅内出血</t>
    </r>
  </si>
  <si>
    <r>
      <t>颅脑</t>
    </r>
    <r>
      <rPr>
        <sz val="12"/>
        <color theme="1"/>
        <rFont val="Times New Roman"/>
        <family val="1"/>
      </rPr>
      <t>(MRI</t>
    </r>
    <r>
      <rPr>
        <sz val="12"/>
        <color theme="1"/>
        <rFont val="宋体"/>
        <family val="3"/>
        <charset val="134"/>
      </rPr>
      <t>平扫</t>
    </r>
    <r>
      <rPr>
        <sz val="12"/>
        <color theme="1"/>
        <rFont val="Times New Roman"/>
        <family val="1"/>
      </rPr>
      <t>)(2024-11-24) </t>
    </r>
    <r>
      <rPr>
        <sz val="12"/>
        <color theme="1"/>
        <rFont val="宋体"/>
        <family val="3"/>
        <charset val="134"/>
      </rPr>
      <t>两侧侧脑室后角内少许积血，余头颅</t>
    </r>
    <r>
      <rPr>
        <sz val="12"/>
        <color theme="1"/>
        <rFont val="Times New Roman"/>
        <family val="1"/>
      </rPr>
      <t>MRI</t>
    </r>
    <r>
      <rPr>
        <sz val="12"/>
        <color theme="1"/>
        <rFont val="宋体"/>
        <family val="3"/>
        <charset val="134"/>
      </rPr>
      <t>未见明显异常；请结合临床。</t>
    </r>
  </si>
  <si>
    <t>血小板减少</t>
    <phoneticPr fontId="1" type="noConversion"/>
  </si>
  <si>
    <r>
      <t>1.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2.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37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)3.</t>
    </r>
    <r>
      <rPr>
        <sz val="12"/>
        <color theme="1"/>
        <rFont val="宋体"/>
        <family val="3"/>
        <charset val="134"/>
      </rPr>
      <t>低出生体重儿</t>
    </r>
    <r>
      <rPr>
        <sz val="12"/>
        <color theme="1"/>
        <rFont val="Times New Roman"/>
        <family val="1"/>
      </rPr>
      <t>(1500-2499g)4.</t>
    </r>
    <r>
      <rPr>
        <sz val="12"/>
        <color rgb="FFFF0000"/>
        <rFont val="宋体"/>
        <family val="3"/>
        <charset val="134"/>
      </rPr>
      <t>新生儿狼疮综合征</t>
    </r>
    <r>
      <rPr>
        <sz val="12"/>
        <color theme="1"/>
        <rFont val="Times New Roman"/>
        <family val="1"/>
      </rPr>
      <t>5.</t>
    </r>
    <r>
      <rPr>
        <sz val="12"/>
        <color theme="1"/>
        <rFont val="宋体"/>
        <family val="3"/>
        <charset val="134"/>
      </rPr>
      <t>母体血小板减少新生儿</t>
    </r>
    <r>
      <rPr>
        <sz val="12"/>
        <color theme="1"/>
        <rFont val="Times New Roman"/>
        <family val="1"/>
      </rPr>
      <t>6.</t>
    </r>
    <r>
      <rPr>
        <sz val="12"/>
        <color theme="1"/>
        <rFont val="宋体"/>
        <family val="3"/>
        <charset val="134"/>
      </rPr>
      <t>新生儿高胆红素血症</t>
    </r>
    <r>
      <rPr>
        <sz val="12"/>
        <color theme="1"/>
        <rFont val="Times New Roman"/>
        <family val="1"/>
      </rPr>
      <t>7.</t>
    </r>
    <r>
      <rPr>
        <sz val="12"/>
        <color theme="1"/>
        <rFont val="宋体"/>
        <family val="3"/>
        <charset val="134"/>
      </rPr>
      <t>房间隔缺损</t>
    </r>
    <phoneticPr fontId="1" type="noConversion"/>
  </si>
  <si>
    <t>子痫、重度FGR、多囊卵巢综合征</t>
    <phoneticPr fontId="1" type="noConversion"/>
  </si>
  <si>
    <r>
      <t>1.</t>
    </r>
    <r>
      <rPr>
        <sz val="12"/>
        <color theme="1"/>
        <rFont val="宋体"/>
        <family val="3"/>
        <charset val="134"/>
      </rPr>
      <t>动脉导管未闭封堵术后</t>
    </r>
    <r>
      <rPr>
        <sz val="12"/>
        <color theme="1"/>
        <rFont val="Times New Roman"/>
        <family val="1"/>
      </rPr>
      <t> 2.</t>
    </r>
    <r>
      <rPr>
        <sz val="12"/>
        <color theme="1"/>
        <rFont val="宋体"/>
        <family val="3"/>
        <charset val="134"/>
      </rPr>
      <t>起源于围生期的支气管肺发育不良</t>
    </r>
    <r>
      <rPr>
        <sz val="12"/>
        <color theme="1"/>
        <rFont val="Times New Roman"/>
        <family val="1"/>
      </rPr>
      <t> 3.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 4.</t>
    </r>
    <r>
      <rPr>
        <sz val="12"/>
        <color theme="1"/>
        <rFont val="宋体"/>
        <family val="3"/>
        <charset val="134"/>
      </rPr>
      <t>新生儿肺炎</t>
    </r>
    <r>
      <rPr>
        <sz val="12"/>
        <color theme="1"/>
        <rFont val="Times New Roman"/>
        <family val="1"/>
      </rPr>
      <t> 5.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6.</t>
    </r>
    <r>
      <rPr>
        <sz val="12"/>
        <color theme="1"/>
        <rFont val="宋体"/>
        <family val="3"/>
        <charset val="134"/>
      </rPr>
      <t>极低出生体重儿</t>
    </r>
    <r>
      <rPr>
        <sz val="12"/>
        <color theme="1"/>
        <rFont val="Times New Roman"/>
        <family val="1"/>
      </rPr>
      <t>(500-999</t>
    </r>
    <r>
      <rPr>
        <sz val="12"/>
        <color theme="1"/>
        <rFont val="宋体"/>
        <family val="3"/>
        <charset val="134"/>
      </rPr>
      <t>克</t>
    </r>
    <r>
      <rPr>
        <sz val="12"/>
        <color theme="1"/>
        <rFont val="Times New Roman"/>
        <family val="1"/>
      </rPr>
      <t>) 7.</t>
    </r>
    <r>
      <rPr>
        <sz val="12"/>
        <color theme="1"/>
        <rFont val="宋体"/>
        <family val="3"/>
        <charset val="134"/>
      </rPr>
      <t>新生儿贫血</t>
    </r>
    <r>
      <rPr>
        <sz val="12"/>
        <color theme="1"/>
        <rFont val="Times New Roman"/>
        <family val="1"/>
      </rPr>
      <t> 8.</t>
    </r>
    <r>
      <rPr>
        <sz val="12"/>
        <color theme="1"/>
        <rFont val="宋体"/>
        <family val="3"/>
        <charset val="134"/>
      </rPr>
      <t>新生儿高胆红素血症</t>
    </r>
    <r>
      <rPr>
        <sz val="12"/>
        <color theme="1"/>
        <rFont val="Times New Roman"/>
        <family val="1"/>
      </rPr>
      <t> 9.</t>
    </r>
    <r>
      <rPr>
        <sz val="12"/>
        <color theme="1"/>
        <rFont val="宋体"/>
        <family val="3"/>
        <charset val="134"/>
      </rPr>
      <t>房间隔缺损</t>
    </r>
  </si>
  <si>
    <t>高血压、地中海贫血</t>
    <phoneticPr fontId="1" type="noConversion"/>
  </si>
  <si>
    <r>
      <t>1.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)2.</t>
    </r>
    <r>
      <rPr>
        <sz val="12"/>
        <color theme="1"/>
        <rFont val="宋体"/>
        <family val="3"/>
        <charset val="134"/>
      </rPr>
      <t>极低出生体重儿</t>
    </r>
    <r>
      <rPr>
        <sz val="12"/>
        <color theme="1"/>
        <rFont val="Times New Roman"/>
        <family val="1"/>
      </rPr>
      <t>(1000-1249g)3.</t>
    </r>
    <r>
      <rPr>
        <sz val="12"/>
        <color theme="1"/>
        <rFont val="宋体"/>
        <family val="3"/>
        <charset val="134"/>
      </rPr>
      <t>新生儿甲状腺功能减退症</t>
    </r>
    <r>
      <rPr>
        <sz val="12"/>
        <color theme="1"/>
        <rFont val="Times New Roman"/>
        <family val="1"/>
      </rPr>
      <t>4.</t>
    </r>
    <r>
      <rPr>
        <sz val="12"/>
        <color theme="1"/>
        <rFont val="宋体"/>
        <family val="3"/>
        <charset val="134"/>
      </rPr>
      <t>新生儿喂养不耐受</t>
    </r>
  </si>
  <si>
    <r>
      <t>颅脑</t>
    </r>
    <r>
      <rPr>
        <sz val="12"/>
        <color theme="1"/>
        <rFont val="Times New Roman"/>
        <family val="1"/>
      </rPr>
      <t>(MRI</t>
    </r>
    <r>
      <rPr>
        <sz val="12"/>
        <color theme="1"/>
        <rFont val="宋体"/>
        <family val="3"/>
        <charset val="134"/>
      </rPr>
      <t>平扫</t>
    </r>
    <r>
      <rPr>
        <sz val="12"/>
        <color theme="1"/>
        <rFont val="Times New Roman"/>
        <family val="1"/>
      </rPr>
      <t>)(2024-12-14) </t>
    </r>
    <r>
      <rPr>
        <sz val="12"/>
        <color theme="1"/>
        <rFont val="宋体"/>
        <family val="3"/>
        <charset val="134"/>
      </rPr>
      <t>符合新生儿脑改变；请结合临床。</t>
    </r>
  </si>
  <si>
    <t>高血压、重度贫血、两系下降、骨髓再生不良</t>
    <phoneticPr fontId="1" type="noConversion"/>
  </si>
  <si>
    <r>
      <t>1.</t>
    </r>
    <r>
      <rPr>
        <sz val="12"/>
        <color theme="1"/>
        <rFont val="宋体"/>
        <family val="3"/>
        <charset val="134"/>
      </rPr>
      <t>起源于围生期的支气管肺发育不良</t>
    </r>
    <r>
      <rPr>
        <sz val="12"/>
        <color theme="1"/>
        <rFont val="Times New Roman"/>
        <family val="1"/>
      </rPr>
      <t>2.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3.</t>
    </r>
    <r>
      <rPr>
        <sz val="12"/>
        <color theme="1"/>
        <rFont val="宋体"/>
        <family val="3"/>
        <charset val="134"/>
      </rPr>
      <t>极低出生体重儿</t>
    </r>
    <r>
      <rPr>
        <sz val="12"/>
        <color theme="1"/>
        <rFont val="Times New Roman"/>
        <family val="1"/>
      </rPr>
      <t>(500-999</t>
    </r>
    <r>
      <rPr>
        <sz val="12"/>
        <color theme="1"/>
        <rFont val="宋体"/>
        <family val="3"/>
        <charset val="134"/>
      </rPr>
      <t>克</t>
    </r>
    <r>
      <rPr>
        <sz val="12"/>
        <color theme="1"/>
        <rFont val="Times New Roman"/>
        <family val="1"/>
      </rPr>
      <t>)4.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)5.</t>
    </r>
    <r>
      <rPr>
        <sz val="12"/>
        <color theme="1"/>
        <rFont val="宋体"/>
        <family val="3"/>
        <charset val="134"/>
      </rPr>
      <t>新生儿败血症</t>
    </r>
    <r>
      <rPr>
        <sz val="12"/>
        <color theme="1"/>
        <rFont val="Times New Roman"/>
        <family val="1"/>
      </rPr>
      <t>6.</t>
    </r>
    <r>
      <rPr>
        <sz val="12"/>
        <color theme="1"/>
        <rFont val="宋体"/>
        <family val="3"/>
        <charset val="134"/>
      </rPr>
      <t>新生儿轻度窒息</t>
    </r>
    <r>
      <rPr>
        <sz val="12"/>
        <color theme="1"/>
        <rFont val="Times New Roman"/>
        <family val="1"/>
      </rPr>
      <t>7.</t>
    </r>
    <r>
      <rPr>
        <sz val="12"/>
        <color theme="1"/>
        <rFont val="宋体"/>
        <family val="3"/>
        <charset val="134"/>
      </rPr>
      <t>新生儿喂养不耐受</t>
    </r>
    <r>
      <rPr>
        <sz val="12"/>
        <color theme="1"/>
        <rFont val="Times New Roman"/>
        <family val="1"/>
      </rPr>
      <t>8.</t>
    </r>
    <r>
      <rPr>
        <sz val="12"/>
        <color theme="1"/>
        <rFont val="宋体"/>
        <family val="3"/>
        <charset val="134"/>
      </rPr>
      <t>新生儿高胆红素血症</t>
    </r>
    <r>
      <rPr>
        <sz val="12"/>
        <color theme="1"/>
        <rFont val="Times New Roman"/>
        <family val="1"/>
      </rPr>
      <t>9.</t>
    </r>
    <r>
      <rPr>
        <sz val="12"/>
        <color theme="1"/>
        <rFont val="宋体"/>
        <family val="3"/>
        <charset val="134"/>
      </rPr>
      <t>新生儿贫血</t>
    </r>
    <r>
      <rPr>
        <sz val="12"/>
        <color theme="1"/>
        <rFont val="Times New Roman"/>
        <family val="1"/>
      </rPr>
      <t>10.</t>
    </r>
    <r>
      <rPr>
        <sz val="12"/>
        <color theme="1"/>
        <rFont val="宋体"/>
        <family val="3"/>
        <charset val="134"/>
      </rPr>
      <t>房间隔缺损</t>
    </r>
  </si>
  <si>
    <t>未分化结缔组织病、甲状腺功能减退</t>
    <phoneticPr fontId="1" type="noConversion"/>
  </si>
  <si>
    <t>:1.新生儿肺炎2.中央型房间隔缺损(卵圆孔型)3.新生儿高胆红素血症 4.早产儿(孕期等于或大于 28周,但小干 32整周)5.极低出生体重儿(1250-1499g)</t>
    <phoneticPr fontId="1" type="noConversion"/>
  </si>
  <si>
    <t>早产儿脑改变</t>
    <phoneticPr fontId="1" type="noConversion"/>
  </si>
  <si>
    <r>
      <t>1.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 2.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37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 3.</t>
    </r>
    <r>
      <rPr>
        <sz val="12"/>
        <color theme="1"/>
        <rFont val="宋体"/>
        <family val="3"/>
        <charset val="134"/>
      </rPr>
      <t>低出生体重儿</t>
    </r>
    <r>
      <rPr>
        <sz val="12"/>
        <color theme="1"/>
        <rFont val="Times New Roman"/>
        <family val="1"/>
      </rPr>
      <t>(1500-2499g) 4.</t>
    </r>
    <r>
      <rPr>
        <sz val="12"/>
        <color theme="1"/>
        <rFont val="宋体"/>
        <family val="3"/>
        <charset val="134"/>
      </rPr>
      <t>中央型房间隔缺损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卵圆孔型</t>
    </r>
    <r>
      <rPr>
        <sz val="12"/>
        <color theme="1"/>
        <rFont val="Times New Roman"/>
        <family val="1"/>
      </rPr>
      <t>) 5.</t>
    </r>
    <r>
      <rPr>
        <sz val="12"/>
        <color theme="1"/>
        <rFont val="宋体"/>
        <family val="3"/>
        <charset val="134"/>
      </rPr>
      <t>非创伤性新生儿硬膜下出血</t>
    </r>
    <r>
      <rPr>
        <sz val="12"/>
        <color theme="1"/>
        <rFont val="Times New Roman"/>
        <family val="1"/>
      </rPr>
      <t> 6.</t>
    </r>
    <r>
      <rPr>
        <sz val="12"/>
        <color theme="1"/>
        <rFont val="宋体"/>
        <family val="3"/>
        <charset val="134"/>
      </rPr>
      <t>围生期脑损伤</t>
    </r>
    <r>
      <rPr>
        <sz val="12"/>
        <color theme="1"/>
        <rFont val="Times New Roman"/>
        <family val="1"/>
      </rPr>
      <t>7</t>
    </r>
    <r>
      <rPr>
        <sz val="12"/>
        <color theme="1"/>
        <rFont val="宋体"/>
        <family val="3"/>
        <charset val="134"/>
      </rPr>
      <t>睾丸附件可疑增大</t>
    </r>
  </si>
  <si>
    <t>甲减、UCTD、乳腺纤维瘤</t>
    <phoneticPr fontId="1" type="noConversion"/>
  </si>
  <si>
    <r>
      <t>1.</t>
    </r>
    <r>
      <rPr>
        <sz val="12"/>
        <color theme="1"/>
        <rFont val="宋体"/>
        <family val="3"/>
        <charset val="134"/>
      </rPr>
      <t>新生儿肺透明膜病</t>
    </r>
    <r>
      <rPr>
        <sz val="12"/>
        <color theme="1"/>
        <rFont val="Times New Roman"/>
        <family val="1"/>
      </rPr>
      <t>2.</t>
    </r>
    <r>
      <rPr>
        <sz val="12"/>
        <color theme="1"/>
        <rFont val="宋体"/>
        <family val="3"/>
        <charset val="134"/>
      </rPr>
      <t>特发于围生期的感染</t>
    </r>
    <r>
      <rPr>
        <sz val="12"/>
        <color theme="1"/>
        <rFont val="Times New Roman"/>
        <family val="1"/>
      </rPr>
      <t>3.</t>
    </r>
    <r>
      <rPr>
        <sz val="12"/>
        <color theme="1"/>
        <rFont val="宋体"/>
        <family val="3"/>
        <charset val="134"/>
      </rPr>
      <t>早产儿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孕期等于或大于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,</t>
    </r>
    <r>
      <rPr>
        <sz val="12"/>
        <color theme="1"/>
        <rFont val="宋体"/>
        <family val="3"/>
        <charset val="134"/>
      </rPr>
      <t>但小于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整周</t>
    </r>
    <r>
      <rPr>
        <sz val="12"/>
        <color theme="1"/>
        <rFont val="Times New Roman"/>
        <family val="1"/>
      </rPr>
      <t>)4.</t>
    </r>
    <r>
      <rPr>
        <sz val="12"/>
        <color theme="1"/>
        <rFont val="宋体"/>
        <family val="3"/>
        <charset val="134"/>
      </rPr>
      <t>极低出生体重儿</t>
    </r>
    <r>
      <rPr>
        <sz val="12"/>
        <color theme="1"/>
        <rFont val="Times New Roman"/>
        <family val="1"/>
      </rPr>
      <t>(1250-1499g)5.</t>
    </r>
    <r>
      <rPr>
        <sz val="12"/>
        <color theme="1"/>
        <rFont val="宋体"/>
        <family val="3"/>
        <charset val="134"/>
      </rPr>
      <t>新生儿高胆红素血症</t>
    </r>
    <r>
      <rPr>
        <sz val="12"/>
        <color theme="1"/>
        <rFont val="Times New Roman"/>
        <family val="1"/>
      </rPr>
      <t>6.</t>
    </r>
    <r>
      <rPr>
        <sz val="12"/>
        <color theme="1"/>
        <rFont val="宋体"/>
        <family val="3"/>
        <charset val="134"/>
      </rPr>
      <t>中央型房间隔缺损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3"/>
        <charset val="134"/>
      </rPr>
      <t>卵圆孔型</t>
    </r>
    <r>
      <rPr>
        <sz val="12"/>
        <color theme="1"/>
        <rFont val="Times New Roman"/>
        <family val="1"/>
      </rPr>
      <t>)7.</t>
    </r>
    <r>
      <rPr>
        <sz val="12"/>
        <color theme="1"/>
        <rFont val="宋体"/>
        <family val="3"/>
        <charset val="134"/>
      </rPr>
      <t>母体甲状腺功能减退新生儿</t>
    </r>
  </si>
  <si>
    <t>多囊卵巢综合症，IVF-ET术后\糖尿病</t>
    <phoneticPr fontId="1" type="noConversion"/>
  </si>
  <si>
    <t>1.早产儿(孕期等于或大于 28整周,但小于 32整周)2.极低出生体重儿(1250-1499g)3.特发于围生期的感染 4.新生儿呼吸困难 5.起源于围生期的支气管肺发育不良6.新生儿肺透明膜病7,早产儿视网膜病8.房间隔缺</t>
  </si>
  <si>
    <t>颅脑(MRI平扫)(2024-12-08)PVL、伴陈旧性出血灶，两侧侧脑室旁少许白质损伤可能</t>
  </si>
  <si>
    <t>出生胎龄分组 1=≤28w，2=28-32周，3：＞32周</t>
    <phoneticPr fontId="1" type="noConversion"/>
  </si>
  <si>
    <t>完成脑电图时纠正胎龄</t>
  </si>
  <si>
    <t>咖啡因使用天数</t>
  </si>
  <si>
    <t>number</t>
    <phoneticPr fontId="1" type="noConversion"/>
  </si>
  <si>
    <t>feeding group</t>
    <phoneticPr fontId="1" type="noConversion"/>
  </si>
  <si>
    <t>group</t>
    <phoneticPr fontId="1" type="noConversion"/>
  </si>
  <si>
    <t>name</t>
    <phoneticPr fontId="1" type="noConversion"/>
  </si>
  <si>
    <t>加权Global_Efficiency_Sleep_Beta</t>
    <phoneticPr fontId="1" type="noConversion"/>
  </si>
  <si>
    <t>Clustering_Coefficient_Sleep_Delta</t>
  </si>
  <si>
    <t>Clustering_Coefficient_Sleep_Theta</t>
  </si>
  <si>
    <t>Clustering_Coefficient_Sleep_Alpha</t>
  </si>
  <si>
    <t>Clustering_Coefficient_Sleep_Beta</t>
  </si>
  <si>
    <t>Clustering_Coefficient_Wake_Delta</t>
  </si>
  <si>
    <t>Clustering_Coefficient_Wake_Theta</t>
  </si>
  <si>
    <t>Clustering_Coefficient_Wake_Alpha</t>
  </si>
  <si>
    <t>Clustering_Coefficient_Wake_Beta</t>
  </si>
  <si>
    <t>Charpath_Sleep_Delta</t>
  </si>
  <si>
    <t>Charpath_Sleep_Theta</t>
  </si>
  <si>
    <t>Charpath_Sleep_Alpha</t>
  </si>
  <si>
    <t>Charpath_Sleep_Beta</t>
  </si>
  <si>
    <t>Charpath_Wake_Delta</t>
  </si>
  <si>
    <t>Charpath_Wake_Theta</t>
  </si>
  <si>
    <t>Charpath_Wake_Alpha</t>
  </si>
  <si>
    <t>Charpath_Wake_Beta</t>
  </si>
  <si>
    <t>Power_Welch_Sleep_Delta</t>
  </si>
  <si>
    <t>Power_Welch_Sleep_Theta</t>
  </si>
  <si>
    <t>Power_Welch_Sleep_Alpha</t>
  </si>
  <si>
    <t>Power_Welch_Sleep_Beta</t>
  </si>
  <si>
    <t>Power_Welch_Sleep_All</t>
  </si>
  <si>
    <t>Power_Welch_Wake_Delta</t>
  </si>
  <si>
    <t>Power_Welch_Wake_Theta</t>
  </si>
  <si>
    <t>Power_Welch_Wake_Alpha</t>
  </si>
  <si>
    <t>Power_Welch_Wake_Beta</t>
  </si>
  <si>
    <t>Power_Welch_Wake_All</t>
  </si>
  <si>
    <t>Power_Relative_Welch_Sleep_Delta</t>
  </si>
  <si>
    <t>Power_Relative_Welch_Sleep_Theta</t>
  </si>
  <si>
    <t>Power_Relative_Welch_Sleep_Alpha</t>
  </si>
  <si>
    <t>Power_Relative_Welch_Sleep_Beta</t>
  </si>
  <si>
    <t>Power_Relative_Welch_Wake_Delta</t>
  </si>
  <si>
    <t>Power_Relative_Welch_Wake_Theta</t>
  </si>
  <si>
    <t>Power_Relative_Welch_Wake_Alpha</t>
  </si>
  <si>
    <t>Power_Relative_Welch_Wake_Beta</t>
  </si>
  <si>
    <t>HBM</t>
    <phoneticPr fontId="3" type="noConversion"/>
  </si>
  <si>
    <t>aizhiqunzhinv</t>
  </si>
  <si>
    <t>艾之群之女/余歌谣</t>
  </si>
  <si>
    <t>bigongmeizhixiaonv</t>
  </si>
  <si>
    <t>毕恭梅之小女</t>
  </si>
  <si>
    <t>LBM</t>
    <phoneticPr fontId="3" type="noConversion"/>
  </si>
  <si>
    <t>cailinglingzhinv</t>
  </si>
  <si>
    <t>FM</t>
    <phoneticPr fontId="3" type="noConversion"/>
  </si>
  <si>
    <t>changchenan</t>
  </si>
  <si>
    <t>chenhuizhinv</t>
  </si>
  <si>
    <t>陈慧之女</t>
  </si>
  <si>
    <t>chenjiayizhinv</t>
  </si>
  <si>
    <t>陈佳怡之女/赵清栩</t>
  </si>
  <si>
    <t>chenyinzhizi</t>
  </si>
  <si>
    <t>dongshuronzhixiaozi</t>
  </si>
  <si>
    <t>guqiyu</t>
  </si>
  <si>
    <t>顾祺煜</t>
  </si>
  <si>
    <t>hehaohan</t>
  </si>
  <si>
    <t>何昊涵</t>
  </si>
  <si>
    <t>hetinzhinv</t>
  </si>
  <si>
    <t>何婷之女/黄诗赟</t>
  </si>
  <si>
    <t>huangchunyanzhizi</t>
  </si>
  <si>
    <t>黄春燕之小女/夏沫</t>
  </si>
  <si>
    <t>huangdandanzhinv</t>
  </si>
  <si>
    <t>黄丹丹之女/王子沫</t>
  </si>
  <si>
    <t>huaqinyuzhixiaonv</t>
  </si>
  <si>
    <t>花沁钰之小女/陈孜洁</t>
  </si>
  <si>
    <t>huoyinlunzhinv</t>
  </si>
  <si>
    <t>霍英伦之女/冯楚骁</t>
  </si>
  <si>
    <t>jiaoyuhan</t>
  </si>
  <si>
    <t>焦语涵</t>
  </si>
  <si>
    <t>jiashenyao</t>
  </si>
  <si>
    <t>jiazengyanzhinv</t>
  </si>
  <si>
    <t>贾曾艳之女</t>
  </si>
  <si>
    <t>jinjunfengzhinv</t>
  </si>
  <si>
    <t>金俊凤之女/金璐</t>
  </si>
  <si>
    <t>juyanlinzhizi</t>
  </si>
  <si>
    <t>leihaozhizi</t>
  </si>
  <si>
    <t>雷皓之子</t>
  </si>
  <si>
    <t>licuiyinzhizi</t>
  </si>
  <si>
    <t>李翠英之子/付晚辰</t>
  </si>
  <si>
    <t>lihuicaizhinvzhinv</t>
  </si>
  <si>
    <t>李会财之女/李依潼</t>
  </si>
  <si>
    <t>limaonizhinv</t>
  </si>
  <si>
    <t>李毛妮之女/赵乐一</t>
  </si>
  <si>
    <t>limiaomiaozhinv</t>
  </si>
  <si>
    <t>李苗苗之女/胡欣怡</t>
  </si>
  <si>
    <t>linruotonzhinv</t>
  </si>
  <si>
    <t>lishiyingzhizi</t>
  </si>
  <si>
    <t>李士影之子/杨安明</t>
  </si>
  <si>
    <t>litonyu</t>
  </si>
  <si>
    <t>李同宇</t>
  </si>
  <si>
    <t>liuhuilizhizi</t>
  </si>
  <si>
    <t>刘会丽之子/秦栎鑫</t>
  </si>
  <si>
    <t>liulingzhizi</t>
  </si>
  <si>
    <t>刘玲之子/林瑞洋</t>
  </si>
  <si>
    <t>liumiaomiaozhizi</t>
  </si>
  <si>
    <t>刘苗苗之子</t>
  </si>
  <si>
    <t>liupingzhizi</t>
  </si>
  <si>
    <t>刘平之子</t>
  </si>
  <si>
    <t>liuziweizhidazi</t>
  </si>
  <si>
    <t>刘紫薇之大子/张辰泽</t>
  </si>
  <si>
    <t>liuziweizhixiaozi</t>
  </si>
  <si>
    <t>刘紫薇之小子/张辰瑞</t>
  </si>
  <si>
    <t>liwanxiazhinv</t>
  </si>
  <si>
    <t>liwenjinzhinv</t>
  </si>
  <si>
    <t>luqizhinv</t>
  </si>
  <si>
    <t>路琪之女</t>
  </si>
  <si>
    <t>mayonzhenzhizi</t>
  </si>
  <si>
    <t>马永珍之子/马云骁</t>
  </si>
  <si>
    <t>nisiwei</t>
  </si>
  <si>
    <t>niunazhinv</t>
  </si>
  <si>
    <t>ouyangzhaoyingzhizi</t>
  </si>
  <si>
    <t>欧阳朝英之子/刘润安</t>
  </si>
  <si>
    <t>pengjunzhizi</t>
  </si>
  <si>
    <t>彭珺之子/陈瑜灏</t>
  </si>
  <si>
    <t>qianmenglanzhinv</t>
  </si>
  <si>
    <t>钱梦岚之女</t>
  </si>
  <si>
    <t>shixiuzhizi</t>
  </si>
  <si>
    <t>石秀之子/潘恒宇</t>
  </si>
  <si>
    <t>songyaruzhinv</t>
  </si>
  <si>
    <t>sunminzhidanv</t>
  </si>
  <si>
    <t>sunminzhixiaonv</t>
  </si>
  <si>
    <t>孙敏之小女</t>
  </si>
  <si>
    <t>sunyannanzhizi</t>
  </si>
  <si>
    <t>孙艳南之子/张宇墨</t>
  </si>
  <si>
    <t>sunyiqiongzhidazi</t>
  </si>
  <si>
    <t>孙伊琼之大子</t>
    <phoneticPr fontId="1" type="noConversion"/>
  </si>
  <si>
    <t>tanghaoxuan</t>
  </si>
  <si>
    <t>汤皓轩</t>
  </si>
  <si>
    <t>wangjuanjuanzhinv</t>
  </si>
  <si>
    <t>王娟娟之女</t>
  </si>
  <si>
    <t>wangqiaozhen</t>
  </si>
  <si>
    <t>wudizhinv</t>
  </si>
  <si>
    <t>吴迪之女</t>
  </si>
  <si>
    <t>wumiaozhizi</t>
  </si>
  <si>
    <t>吴淼之子/吴正奇</t>
  </si>
  <si>
    <t>xiangminzhinv</t>
  </si>
  <si>
    <t>向敏之女/张向杨</t>
  </si>
  <si>
    <t>xiaofei</t>
  </si>
  <si>
    <t>xiazhuyinzhidanv</t>
  </si>
  <si>
    <t>xieyanqiuzhizi</t>
  </si>
  <si>
    <t>谢艳秋之子/周佑安</t>
  </si>
  <si>
    <t>xijiaqinzhidanv</t>
  </si>
  <si>
    <t>奚佳清之大女/徐晴</t>
  </si>
  <si>
    <t>xingyanzhinv</t>
  </si>
  <si>
    <t>邢燕之女/王嘉卿</t>
  </si>
  <si>
    <t>xuhanxi</t>
  </si>
  <si>
    <t>yangxiaoxuezhizi</t>
  </si>
  <si>
    <t>yangyinlingzhidazi</t>
  </si>
  <si>
    <t>杨银玲之大子</t>
  </si>
  <si>
    <t>yangzhouzhou</t>
  </si>
  <si>
    <t>杨周洀/杨周安</t>
  </si>
  <si>
    <t>yinyingzhinv</t>
  </si>
  <si>
    <t>印莺之女/李知语</t>
  </si>
  <si>
    <t>yiwenjiezhizi</t>
  </si>
  <si>
    <t>yuqiaoqiaozhizi</t>
  </si>
  <si>
    <t>zhangji</t>
  </si>
  <si>
    <t>zhangjianronzhinv</t>
  </si>
  <si>
    <t>张建容之女/钟逸宁</t>
  </si>
  <si>
    <t>zhangjinzhidanv</t>
  </si>
  <si>
    <t>zhangmaojiangzhinv</t>
  </si>
  <si>
    <t>张茂江之女/孙雨涵</t>
  </si>
  <si>
    <t>zhangshiruizhizi</t>
  </si>
  <si>
    <t>张士蕊之子</t>
  </si>
  <si>
    <t>zhangyuandanv</t>
  </si>
  <si>
    <t>张源之大女/侍相安</t>
  </si>
  <si>
    <t>zhangyuanzhixiaonv</t>
  </si>
  <si>
    <t>张源小女/侍相泽</t>
  </si>
  <si>
    <t>zhangyuzhizi</t>
  </si>
  <si>
    <t>张玉之子</t>
  </si>
  <si>
    <t>zhangzushan</t>
  </si>
  <si>
    <t>张祖善</t>
  </si>
  <si>
    <t>zhaowenjuanzhizi</t>
  </si>
  <si>
    <t>zhaoxiaotonzhinv</t>
  </si>
  <si>
    <t>赵晓彤之女/吉涵钰</t>
  </si>
  <si>
    <t>zhaoyezhidanv</t>
  </si>
  <si>
    <t>赵叶之大女</t>
  </si>
  <si>
    <t>zhaoyezhixiaonv</t>
  </si>
  <si>
    <t>赵叶之小女/瞿一木</t>
  </si>
  <si>
    <t>zhoushuozhinv</t>
  </si>
  <si>
    <t>周烁之女</t>
  </si>
  <si>
    <t>zhoutintinzhinv</t>
  </si>
  <si>
    <t>周婷婷之女/沈清瑶</t>
  </si>
  <si>
    <t>zhouyanzhizi</t>
  </si>
  <si>
    <t>周燕之子</t>
  </si>
  <si>
    <t>zhuyanzhinv</t>
  </si>
  <si>
    <t>朱燕之女/陆文汐</t>
  </si>
  <si>
    <t>杨小雪之子</t>
    <phoneticPr fontId="1" type="noConversion"/>
  </si>
  <si>
    <t>门诊号</t>
    <phoneticPr fontId="1" type="noConversion"/>
  </si>
  <si>
    <t>加权Global_Efficiency_Sleep_Delta</t>
  </si>
  <si>
    <t>加权Global_Efficiency_Sleep_Theta</t>
  </si>
  <si>
    <t>加权Global_Efficiency_Sleep_Alpha</t>
  </si>
  <si>
    <t>加权Global_Efficiency_Wake_Delta</t>
  </si>
  <si>
    <t>加权Global_Efficiency_Wake_Theta</t>
  </si>
  <si>
    <t>加权Global_Efficiency_Wake_Alpha</t>
  </si>
  <si>
    <t>加权Local_Efficiency_Sleep_Theta</t>
  </si>
  <si>
    <t>加权Local_Efficiency_Sleep_Alpha</t>
  </si>
  <si>
    <t>加权Local_Efficiency_Sleep_Beta</t>
  </si>
  <si>
    <t>加权Local_Efficiency_Sleep_Delta</t>
  </si>
  <si>
    <t>加权Local_Efficiency_Wake_Theta</t>
  </si>
  <si>
    <t>加权Local_Efficiency_Wake_Alpha</t>
  </si>
  <si>
    <t>加权Local_Efficiency_Wake_Beta</t>
  </si>
  <si>
    <t>加权Local_Efficiency_Wake_Delta</t>
  </si>
  <si>
    <t>不加权Local_Efficiency_Sleep_Theta</t>
  </si>
  <si>
    <t>不加权Local_Efficiency_Sleep_Alpha</t>
  </si>
  <si>
    <t>不加权Local_Efficiency_Sleep_Beta</t>
  </si>
  <si>
    <t>不加权Local_Efficiency_Sleep_Delta</t>
  </si>
  <si>
    <t>不加权Local_Efficiency_Wake_Theta</t>
  </si>
  <si>
    <t>不加权Local_Efficiency_Wake_Alpha</t>
  </si>
  <si>
    <t>不加权Local_Efficiency_Wake_Beta</t>
  </si>
  <si>
    <t>不加权Local_Efficiency_Wake_Delta</t>
  </si>
  <si>
    <t>母乳占比4分法，1=配方奶组，2=＜25%</t>
    <phoneticPr fontId="1" type="noConversion"/>
  </si>
  <si>
    <t>加权Global_Efficiency_Wake_Beta</t>
    <phoneticPr fontId="1" type="noConversion"/>
  </si>
  <si>
    <t xml:space="preserve">喂养方式 1=配方奶 2=高比例母乳喂养 </t>
    <phoneticPr fontId="1" type="noConversion"/>
  </si>
  <si>
    <t>科研编号</t>
  </si>
  <si>
    <t>计数</t>
  </si>
  <si>
    <t>number</t>
  </si>
  <si>
    <t>姓名</t>
  </si>
  <si>
    <t xml:space="preserve">喂养方式 1=配方奶 2=低比例母乳喂养组  3=高比例母乳喂养 </t>
  </si>
  <si>
    <t>蔡玲玲之女（彭昕瑶））</t>
  </si>
  <si>
    <t>杨小雪之子</t>
  </si>
  <si>
    <t>不加权Global_Efficiency_Sleep_Delta</t>
    <phoneticPr fontId="1" type="noConversion"/>
  </si>
  <si>
    <t>不加权Global_Efficiency_Sleep_Theta</t>
    <phoneticPr fontId="1" type="noConversion"/>
  </si>
  <si>
    <t>不加权Global_Efficiency_Sleep_Alpha</t>
    <phoneticPr fontId="1" type="noConversion"/>
  </si>
  <si>
    <t>不加权Global_Efficiency_Sleep_Beta</t>
    <phoneticPr fontId="1" type="noConversion"/>
  </si>
  <si>
    <t>不加权Global_Efficiency_Wake_Delta</t>
    <phoneticPr fontId="1" type="noConversion"/>
  </si>
  <si>
    <t>不加权Global_Efficiency_Wake_Theta</t>
    <phoneticPr fontId="1" type="noConversion"/>
  </si>
  <si>
    <t>不加权Global_Efficiency_Wake_Alpha</t>
    <phoneticPr fontId="1" type="noConversion"/>
  </si>
  <si>
    <t>不加权Global_Efficiency_Wake_Beta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</si>
</sst>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_);[Red]\(0.00\)"/>
  </numFmts>
  <fonts count="2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 tint="4.9989318521683403E-2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7"/>
      <color theme="1"/>
      <name val="PingFangSC"/>
      <family val="2"/>
    </font>
    <font>
      <sz val="11"/>
      <color theme="1" tint="4.9989318521683403E-2"/>
      <name val="宋体"/>
      <family val="3"/>
      <charset val="134"/>
    </font>
    <font>
      <sz val="11"/>
      <color rgb="FF293750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293750"/>
      <name val="Times New Roman"/>
      <family val="1"/>
    </font>
    <font>
      <sz val="11"/>
      <color rgb="FF333333"/>
      <name val="Times New Roman"/>
      <family val="1"/>
    </font>
    <font>
      <b/>
      <sz val="11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rgb="FF0D0D0D"/>
      <name val="宋体"/>
      <family val="3"/>
      <charset val="134"/>
    </font>
    <font>
      <b/>
      <sz val="11"/>
      <color rgb="FF00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8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4" borderId="0" xfId="0" applyFont="1" applyFill="1" applyAlignment="1">
      <alignment horizontal="center" vertical="top" wrapText="1"/>
    </xf>
    <xf numFmtId="0" fontId="8" fillId="3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3" fillId="0" borderId="0" xfId="0" applyFont="1"/>
    <xf numFmtId="0" fontId="0" fillId="2" borderId="0" xfId="0" applyFill="1"/>
    <xf numFmtId="0" fontId="7" fillId="0" borderId="0" xfId="0" applyFont="1"/>
    <xf numFmtId="14" fontId="7" fillId="0" borderId="0" xfId="0" applyNumberFormat="1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49" fontId="7" fillId="0" borderId="0" xfId="1" applyNumberFormat="1" applyFont="1" applyAlignment="1">
      <alignment horizontal="center" vertical="center" wrapText="1"/>
    </xf>
    <xf numFmtId="14" fontId="7" fillId="0" borderId="0" xfId="1" applyNumberFormat="1" applyFont="1" applyAlignment="1">
      <alignment horizontal="center" vertical="center" wrapText="1"/>
    </xf>
    <xf numFmtId="0" fontId="7" fillId="0" borderId="0" xfId="2" applyFont="1" applyAlignment="1">
      <alignment horizontal="center" wrapText="1"/>
    </xf>
    <xf numFmtId="0" fontId="7" fillId="0" borderId="0" xfId="2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4" fontId="7" fillId="0" borderId="0" xfId="2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justify" vertical="center"/>
    </xf>
    <xf numFmtId="14" fontId="7" fillId="0" borderId="0" xfId="0" applyNumberFormat="1" applyFont="1"/>
    <xf numFmtId="14" fontId="8" fillId="0" borderId="0" xfId="0" applyNumberFormat="1" applyFont="1"/>
    <xf numFmtId="14" fontId="12" fillId="0" borderId="0" xfId="0" applyNumberFormat="1" applyFont="1"/>
    <xf numFmtId="14" fontId="7" fillId="0" borderId="0" xfId="0" applyNumberFormat="1" applyFont="1" applyAlignment="1">
      <alignment horizontal="justify" vertical="center"/>
    </xf>
    <xf numFmtId="0" fontId="15" fillId="0" borderId="0" xfId="0" applyFont="1"/>
    <xf numFmtId="2" fontId="7" fillId="0" borderId="0" xfId="0" applyNumberFormat="1" applyFont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14" fontId="9" fillId="4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vertical="top"/>
    </xf>
    <xf numFmtId="14" fontId="8" fillId="3" borderId="0" xfId="0" applyNumberFormat="1" applyFont="1" applyFill="1" applyAlignment="1">
      <alignment horizontal="center" vertical="center" wrapText="1"/>
    </xf>
    <xf numFmtId="14" fontId="7" fillId="0" borderId="0" xfId="0" applyNumberFormat="1" applyFont="1" applyAlignment="1">
      <alignment horizontal="center"/>
    </xf>
    <xf numFmtId="0" fontId="16" fillId="0" borderId="0" xfId="0" applyFont="1" applyAlignment="1">
      <alignment horizontal="justify" vertical="center"/>
    </xf>
    <xf numFmtId="177" fontId="9" fillId="4" borderId="0" xfId="0" applyNumberFormat="1" applyFont="1" applyFill="1" applyAlignment="1">
      <alignment vertical="center" wrapText="1"/>
    </xf>
    <xf numFmtId="177" fontId="7" fillId="0" borderId="0" xfId="0" applyNumberFormat="1" applyFont="1"/>
    <xf numFmtId="0" fontId="2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14" fontId="18" fillId="0" borderId="0" xfId="0" applyNumberFormat="1" applyFont="1" applyAlignment="1">
      <alignment vertical="center" wrapText="1"/>
    </xf>
    <xf numFmtId="14" fontId="18" fillId="0" borderId="0" xfId="0" applyNumberFormat="1" applyFont="1" applyAlignment="1">
      <alignment vertical="center"/>
    </xf>
    <xf numFmtId="14" fontId="19" fillId="6" borderId="0" xfId="0" applyNumberFormat="1" applyFont="1" applyFill="1" applyAlignment="1">
      <alignment vertical="center" wrapText="1"/>
    </xf>
    <xf numFmtId="14" fontId="20" fillId="0" borderId="0" xfId="0" applyNumberFormat="1" applyFont="1" applyAlignment="1">
      <alignment vertical="center"/>
    </xf>
    <xf numFmtId="14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176" fontId="18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justify" vertical="center"/>
    </xf>
    <xf numFmtId="0" fontId="16" fillId="0" borderId="0" xfId="0" applyFont="1"/>
    <xf numFmtId="0" fontId="17" fillId="0" borderId="0" xfId="0" applyFont="1" applyAlignment="1">
      <alignment horizontal="justify" vertical="center"/>
    </xf>
    <xf numFmtId="0" fontId="17" fillId="0" borderId="0" xfId="0" applyFont="1"/>
    <xf numFmtId="0" fontId="16" fillId="2" borderId="0" xfId="0" applyFont="1" applyFill="1" applyAlignment="1">
      <alignment horizontal="justify" vertical="center"/>
    </xf>
    <xf numFmtId="14" fontId="0" fillId="2" borderId="0" xfId="0" applyNumberFormat="1" applyFill="1" applyAlignment="1">
      <alignment horizontal="center" vertical="center"/>
    </xf>
    <xf numFmtId="177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 wrapText="1"/>
    </xf>
    <xf numFmtId="177" fontId="12" fillId="0" borderId="0" xfId="0" applyNumberFormat="1" applyFont="1" applyAlignment="1">
      <alignment horizontal="center" vertical="center" wrapText="1"/>
    </xf>
    <xf numFmtId="177" fontId="23" fillId="0" borderId="0" xfId="0" applyNumberFormat="1" applyFont="1" applyAlignment="1">
      <alignment horizontal="center" vertical="center" wrapText="1"/>
    </xf>
    <xf numFmtId="177" fontId="9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5" fillId="0" borderId="0" xfId="0" applyFont="1"/>
    <xf numFmtId="0" fontId="0" fillId="2" borderId="0" xfId="0" applyFill="1" applyAlignment="1">
      <alignment horizontal="center" vertical="center"/>
    </xf>
  </cellXfs>
  <cellStyles count="3">
    <cellStyle name="常规" xfId="0" builtinId="0"/>
    <cellStyle name="常规 2" xfId="1" xr:uid="{B526E9E4-0A8B-4483-924E-7D78B6A16504}"/>
    <cellStyle name="常规 3" xfId="2" xr:uid="{83B5EBB8-102B-42D1-96A5-0BBF40C854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85"/>
  <sheetViews>
    <sheetView zoomScale="70" zoomScaleNormal="70" workbookViewId="0">
      <pane ySplit="1" topLeftCell="A38" activePane="bottomLeft" state="frozen"/>
      <selection pane="bottomLeft" activeCell="F35" sqref="F35"/>
    </sheetView>
  </sheetViews>
  <sheetFormatPr defaultColWidth="7" defaultRowHeight="28" customHeight="1"/>
  <cols>
    <col min="1" max="1" width="7" style="9" customWidth="1"/>
    <col min="2" max="2" width="7.08203125" style="9" customWidth="1"/>
    <col min="3" max="3" width="8.6640625"/>
    <col min="4" max="4" width="41.5" style="9" customWidth="1"/>
    <col min="5" max="5" width="12.33203125" style="9" customWidth="1"/>
    <col min="6" max="6" width="7.08203125" style="9" customWidth="1"/>
    <col min="7" max="8" width="22.9140625" style="9" customWidth="1"/>
    <col min="9" max="9" width="7.83203125" style="9" customWidth="1"/>
    <col min="10" max="10" width="7.08203125" style="9" customWidth="1"/>
    <col min="11" max="12" width="10.6640625" style="9" customWidth="1"/>
    <col min="13" max="13" width="11.25" style="9" customWidth="1"/>
    <col min="14" max="14" width="8.75" style="17" customWidth="1"/>
    <col min="15" max="15" width="12.08203125" style="45" customWidth="1"/>
    <col min="16" max="16" width="12.08203125" style="17" customWidth="1"/>
    <col min="17" max="17" width="8.75" style="17" customWidth="1"/>
    <col min="18" max="18" width="10.58203125" style="9" customWidth="1"/>
    <col min="19" max="20" width="8.75" style="9" customWidth="1"/>
    <col min="21" max="21" width="16.5" style="9" customWidth="1"/>
    <col min="22" max="26" width="8.75" style="9" customWidth="1"/>
    <col min="27" max="37" width="7.08203125" style="9" customWidth="1"/>
    <col min="38" max="40" width="7" style="9" customWidth="1"/>
    <col min="41" max="41" width="19.25" style="9" customWidth="1"/>
    <col min="42" max="42" width="7" style="9" customWidth="1"/>
    <col min="43" max="43" width="22.5" style="9" customWidth="1"/>
    <col min="44" max="44" width="7" style="9" customWidth="1"/>
    <col min="45" max="46" width="7.08203125" style="9" customWidth="1"/>
    <col min="47" max="47" width="21.75" style="9" customWidth="1"/>
    <col min="48" max="49" width="7.08203125" style="9" customWidth="1"/>
    <col min="50" max="50" width="8.4140625" style="9" customWidth="1"/>
    <col min="51" max="65" width="7.08203125" style="9" customWidth="1"/>
    <col min="66" max="66" width="7" style="9" customWidth="1"/>
    <col min="67" max="71" width="7.08203125" style="9" customWidth="1"/>
    <col min="72" max="72" width="15.83203125" style="9" customWidth="1"/>
    <col min="73" max="73" width="12.58203125" style="9" customWidth="1"/>
    <col min="74" max="75" width="7.08203125" style="9" customWidth="1"/>
    <col min="76" max="76" width="7" style="9" customWidth="1"/>
    <col min="77" max="78" width="7.08203125" style="9" customWidth="1"/>
    <col min="79" max="79" width="7.08203125" style="9" bestFit="1" customWidth="1"/>
    <col min="80" max="81" width="11.25" style="9" bestFit="1" customWidth="1"/>
    <col min="82" max="82" width="7" style="9"/>
    <col min="83" max="148" width="8.6640625" style="80"/>
    <col min="149" max="16384" width="7" style="9"/>
  </cols>
  <sheetData>
    <row r="1" spans="1:148" s="2" customFormat="1" ht="120.5" customHeight="1">
      <c r="A1" s="38" t="s">
        <v>94</v>
      </c>
      <c r="B1" s="38" t="s">
        <v>200</v>
      </c>
      <c r="C1" s="38" t="s">
        <v>600</v>
      </c>
      <c r="D1" s="38" t="s">
        <v>102</v>
      </c>
      <c r="E1" s="38" t="s">
        <v>1</v>
      </c>
      <c r="F1" s="38" t="s">
        <v>506</v>
      </c>
      <c r="G1" s="38" t="s">
        <v>597</v>
      </c>
      <c r="H1" s="38" t="s">
        <v>3</v>
      </c>
      <c r="I1" s="38" t="s">
        <v>42</v>
      </c>
      <c r="J1" s="38" t="s">
        <v>6</v>
      </c>
      <c r="K1" s="38" t="s">
        <v>53</v>
      </c>
      <c r="L1" s="38" t="s">
        <v>813</v>
      </c>
      <c r="M1" s="38" t="s">
        <v>2</v>
      </c>
      <c r="N1" s="12" t="s">
        <v>316</v>
      </c>
      <c r="O1" s="44" t="s">
        <v>576</v>
      </c>
      <c r="P1" s="12" t="s">
        <v>811</v>
      </c>
      <c r="Q1" s="12" t="s">
        <v>294</v>
      </c>
      <c r="R1" s="38" t="s">
        <v>278</v>
      </c>
      <c r="S1" s="38" t="s">
        <v>263</v>
      </c>
      <c r="T1" s="38" t="s">
        <v>264</v>
      </c>
      <c r="U1" s="38" t="s">
        <v>265</v>
      </c>
      <c r="V1" s="38" t="s">
        <v>509</v>
      </c>
      <c r="W1" s="38" t="s">
        <v>266</v>
      </c>
      <c r="X1" s="38" t="s">
        <v>268</v>
      </c>
      <c r="Y1" s="38" t="s">
        <v>269</v>
      </c>
      <c r="Z1" s="38" t="s">
        <v>267</v>
      </c>
      <c r="AA1" s="38" t="s">
        <v>240</v>
      </c>
      <c r="AB1" s="38" t="s">
        <v>241</v>
      </c>
      <c r="AC1" s="38" t="s">
        <v>242</v>
      </c>
      <c r="AD1" s="38" t="s">
        <v>243</v>
      </c>
      <c r="AE1" s="38" t="s">
        <v>434</v>
      </c>
      <c r="AF1" s="38" t="s">
        <v>314</v>
      </c>
      <c r="AG1" s="38" t="s">
        <v>306</v>
      </c>
      <c r="AH1" s="38" t="s">
        <v>244</v>
      </c>
      <c r="AI1" s="38" t="s">
        <v>245</v>
      </c>
      <c r="AJ1" s="38" t="s">
        <v>246</v>
      </c>
      <c r="AK1" s="38" t="s">
        <v>247</v>
      </c>
      <c r="AL1" s="38" t="s">
        <v>248</v>
      </c>
      <c r="AM1" s="38" t="s">
        <v>249</v>
      </c>
      <c r="AN1" s="38" t="s">
        <v>250</v>
      </c>
      <c r="AO1" s="38" t="s">
        <v>251</v>
      </c>
      <c r="AP1" s="38" t="s">
        <v>255</v>
      </c>
      <c r="AQ1" s="38" t="s">
        <v>230</v>
      </c>
      <c r="AR1" s="38" t="s">
        <v>231</v>
      </c>
      <c r="AS1" s="11" t="s">
        <v>262</v>
      </c>
      <c r="AT1" s="11" t="s">
        <v>312</v>
      </c>
      <c r="AU1" s="11" t="s">
        <v>569</v>
      </c>
      <c r="AV1" s="38" t="s">
        <v>253</v>
      </c>
      <c r="AW1" s="38"/>
      <c r="AX1" s="38" t="s">
        <v>254</v>
      </c>
      <c r="AY1" s="38" t="s">
        <v>233</v>
      </c>
      <c r="AZ1" s="38" t="s">
        <v>234</v>
      </c>
      <c r="BA1" s="38" t="s">
        <v>235</v>
      </c>
      <c r="BB1" s="38" t="s">
        <v>236</v>
      </c>
      <c r="BC1" s="38" t="s">
        <v>237</v>
      </c>
      <c r="BD1" s="38" t="s">
        <v>238</v>
      </c>
      <c r="BE1" s="38" t="s">
        <v>239</v>
      </c>
      <c r="BF1" s="38" t="s">
        <v>256</v>
      </c>
      <c r="BG1" s="38" t="s">
        <v>257</v>
      </c>
      <c r="BH1" s="38" t="s">
        <v>260</v>
      </c>
      <c r="BI1" s="38" t="s">
        <v>261</v>
      </c>
      <c r="BJ1" s="38" t="s">
        <v>258</v>
      </c>
      <c r="BK1" s="38" t="s">
        <v>259</v>
      </c>
      <c r="BL1" s="38" t="s">
        <v>276</v>
      </c>
      <c r="BM1" s="38" t="s">
        <v>419</v>
      </c>
      <c r="BN1" s="38" t="s">
        <v>277</v>
      </c>
      <c r="BO1" s="38" t="s">
        <v>279</v>
      </c>
      <c r="BP1" s="38" t="s">
        <v>280</v>
      </c>
      <c r="BQ1" s="38" t="s">
        <v>281</v>
      </c>
      <c r="BR1" s="38" t="s">
        <v>282</v>
      </c>
      <c r="BS1" s="38" t="s">
        <v>575</v>
      </c>
      <c r="BT1" s="41" t="s">
        <v>232</v>
      </c>
      <c r="BU1" s="39" t="s">
        <v>252</v>
      </c>
      <c r="BV1" s="38" t="s">
        <v>270</v>
      </c>
      <c r="BW1" s="38" t="s">
        <v>271</v>
      </c>
      <c r="BX1" s="38" t="s">
        <v>272</v>
      </c>
      <c r="BY1" s="38" t="s">
        <v>273</v>
      </c>
      <c r="BZ1" s="38" t="s">
        <v>274</v>
      </c>
      <c r="CA1" s="38" t="s">
        <v>275</v>
      </c>
      <c r="CB1" s="38" t="s">
        <v>320</v>
      </c>
      <c r="CC1" s="38"/>
      <c r="CD1" s="2" t="s">
        <v>599</v>
      </c>
      <c r="CE1" s="82" t="s">
        <v>789</v>
      </c>
      <c r="CF1" s="83" t="s">
        <v>790</v>
      </c>
      <c r="CG1" s="83" t="s">
        <v>791</v>
      </c>
      <c r="CH1" s="83" t="s">
        <v>604</v>
      </c>
      <c r="CI1" s="83" t="s">
        <v>792</v>
      </c>
      <c r="CJ1" s="83" t="s">
        <v>793</v>
      </c>
      <c r="CK1" s="83" t="s">
        <v>794</v>
      </c>
      <c r="CL1" s="83" t="s">
        <v>812</v>
      </c>
      <c r="CM1" s="84" t="s">
        <v>795</v>
      </c>
      <c r="CN1" s="84" t="s">
        <v>796</v>
      </c>
      <c r="CO1" s="84" t="s">
        <v>797</v>
      </c>
      <c r="CP1" s="84" t="s">
        <v>798</v>
      </c>
      <c r="CQ1" s="84" t="s">
        <v>799</v>
      </c>
      <c r="CR1" s="84" t="s">
        <v>800</v>
      </c>
      <c r="CS1" s="84" t="s">
        <v>801</v>
      </c>
      <c r="CT1" s="84" t="s">
        <v>802</v>
      </c>
      <c r="CU1" s="82" t="s">
        <v>789</v>
      </c>
      <c r="CV1" s="83" t="s">
        <v>790</v>
      </c>
      <c r="CW1" s="83" t="s">
        <v>791</v>
      </c>
      <c r="CX1" s="83" t="s">
        <v>604</v>
      </c>
      <c r="CY1" s="83" t="s">
        <v>792</v>
      </c>
      <c r="CZ1" s="83" t="s">
        <v>793</v>
      </c>
      <c r="DA1" s="83" t="s">
        <v>794</v>
      </c>
      <c r="DB1" s="83" t="s">
        <v>812</v>
      </c>
      <c r="DC1" s="84" t="s">
        <v>803</v>
      </c>
      <c r="DD1" s="84" t="s">
        <v>804</v>
      </c>
      <c r="DE1" s="84" t="s">
        <v>805</v>
      </c>
      <c r="DF1" s="84" t="s">
        <v>806</v>
      </c>
      <c r="DG1" s="84" t="s">
        <v>807</v>
      </c>
      <c r="DH1" s="84" t="s">
        <v>808</v>
      </c>
      <c r="DI1" s="84" t="s">
        <v>809</v>
      </c>
      <c r="DJ1" s="84" t="s">
        <v>810</v>
      </c>
      <c r="DK1" s="85" t="s">
        <v>605</v>
      </c>
      <c r="DL1" s="85" t="s">
        <v>606</v>
      </c>
      <c r="DM1" s="85" t="s">
        <v>607</v>
      </c>
      <c r="DN1" s="85" t="s">
        <v>608</v>
      </c>
      <c r="DO1" s="85" t="s">
        <v>609</v>
      </c>
      <c r="DP1" s="85" t="s">
        <v>610</v>
      </c>
      <c r="DQ1" s="85" t="s">
        <v>611</v>
      </c>
      <c r="DR1" s="85" t="s">
        <v>612</v>
      </c>
      <c r="DS1" s="84" t="s">
        <v>613</v>
      </c>
      <c r="DT1" s="84" t="s">
        <v>614</v>
      </c>
      <c r="DU1" s="84" t="s">
        <v>615</v>
      </c>
      <c r="DV1" s="84" t="s">
        <v>616</v>
      </c>
      <c r="DW1" s="84" t="s">
        <v>617</v>
      </c>
      <c r="DX1" s="84" t="s">
        <v>618</v>
      </c>
      <c r="DY1" s="84" t="s">
        <v>619</v>
      </c>
      <c r="DZ1" s="84" t="s">
        <v>620</v>
      </c>
      <c r="EA1" s="85" t="s">
        <v>621</v>
      </c>
      <c r="EB1" s="85" t="s">
        <v>622</v>
      </c>
      <c r="EC1" s="85" t="s">
        <v>623</v>
      </c>
      <c r="ED1" s="85" t="s">
        <v>624</v>
      </c>
      <c r="EE1" s="85" t="s">
        <v>625</v>
      </c>
      <c r="EF1" s="85" t="s">
        <v>626</v>
      </c>
      <c r="EG1" s="85" t="s">
        <v>627</v>
      </c>
      <c r="EH1" s="85" t="s">
        <v>628</v>
      </c>
      <c r="EI1" s="85" t="s">
        <v>629</v>
      </c>
      <c r="EJ1" s="85" t="s">
        <v>630</v>
      </c>
      <c r="EK1" s="84" t="s">
        <v>631</v>
      </c>
      <c r="EL1" s="84" t="s">
        <v>632</v>
      </c>
      <c r="EM1" s="84" t="s">
        <v>633</v>
      </c>
      <c r="EN1" s="84" t="s">
        <v>634</v>
      </c>
      <c r="EO1" s="84" t="s">
        <v>635</v>
      </c>
      <c r="EP1" s="84" t="s">
        <v>636</v>
      </c>
      <c r="EQ1" s="84" t="s">
        <v>637</v>
      </c>
      <c r="ER1" s="84" t="s">
        <v>638</v>
      </c>
    </row>
    <row r="2" spans="1:148" ht="28" customHeight="1">
      <c r="A2" s="17">
        <v>67</v>
      </c>
      <c r="B2" s="9">
        <f t="shared" ref="B2:B33" si="0">ROW(B2)-1</f>
        <v>1</v>
      </c>
      <c r="C2">
        <v>1</v>
      </c>
      <c r="D2" s="9" t="s">
        <v>208</v>
      </c>
      <c r="E2" s="9" t="s">
        <v>226</v>
      </c>
      <c r="F2" s="37">
        <v>33.571428571428569</v>
      </c>
      <c r="G2" s="20">
        <v>3</v>
      </c>
      <c r="H2" s="18">
        <v>45347</v>
      </c>
      <c r="I2" s="20">
        <f t="shared" ref="I2:I33" si="1">H2-M2</f>
        <v>20</v>
      </c>
      <c r="J2" s="28" t="s">
        <v>524</v>
      </c>
      <c r="K2" s="9">
        <v>3</v>
      </c>
      <c r="L2" s="9">
        <v>2</v>
      </c>
      <c r="M2" s="18">
        <v>45327</v>
      </c>
      <c r="N2" s="17">
        <v>3797</v>
      </c>
      <c r="O2" s="45">
        <v>67.131946273373728</v>
      </c>
      <c r="P2" s="17">
        <v>4</v>
      </c>
      <c r="Q2" s="17">
        <v>1</v>
      </c>
      <c r="R2" s="18">
        <v>45333</v>
      </c>
      <c r="S2" s="9">
        <v>2</v>
      </c>
      <c r="T2" s="9">
        <v>0</v>
      </c>
      <c r="U2" s="9">
        <v>5</v>
      </c>
      <c r="V2" s="9">
        <v>5</v>
      </c>
      <c r="W2" s="9">
        <v>4</v>
      </c>
      <c r="X2" s="9">
        <v>6</v>
      </c>
      <c r="Y2" s="9">
        <v>12</v>
      </c>
      <c r="Z2" s="9">
        <v>7</v>
      </c>
      <c r="AA2" s="9">
        <v>2</v>
      </c>
      <c r="AB2" s="9">
        <v>1</v>
      </c>
      <c r="AC2" s="9">
        <v>8</v>
      </c>
      <c r="AD2" s="9">
        <v>10</v>
      </c>
      <c r="AE2" s="9">
        <v>1</v>
      </c>
      <c r="AF2" s="9">
        <v>1</v>
      </c>
      <c r="AG2" s="9">
        <v>1</v>
      </c>
      <c r="AH2" s="9">
        <v>2</v>
      </c>
      <c r="AI2" s="9">
        <v>1</v>
      </c>
      <c r="AJ2" s="9">
        <v>1</v>
      </c>
      <c r="AK2" s="9">
        <v>2</v>
      </c>
      <c r="AL2" s="9">
        <v>31</v>
      </c>
      <c r="AM2" s="9">
        <v>1</v>
      </c>
      <c r="AN2" s="9">
        <v>2</v>
      </c>
      <c r="AO2" s="9" t="s">
        <v>442</v>
      </c>
      <c r="AP2" s="9" t="s">
        <v>443</v>
      </c>
      <c r="AQ2" s="9" t="s">
        <v>444</v>
      </c>
      <c r="AR2" s="9" t="s">
        <v>445</v>
      </c>
      <c r="AS2" s="9">
        <v>1</v>
      </c>
      <c r="AT2" s="9">
        <v>2</v>
      </c>
      <c r="AU2" s="9">
        <v>1</v>
      </c>
      <c r="AV2" s="9">
        <v>36</v>
      </c>
      <c r="AW2" s="9">
        <v>5</v>
      </c>
      <c r="AX2" s="37">
        <f t="shared" ref="AX2:AX33" si="2">AV2+AW2/7</f>
        <v>36.714285714285715</v>
      </c>
      <c r="AY2" s="9">
        <v>1810</v>
      </c>
      <c r="AZ2" s="9">
        <v>3</v>
      </c>
      <c r="BA2" s="9">
        <v>3</v>
      </c>
      <c r="BB2" s="9">
        <v>45</v>
      </c>
      <c r="BC2" s="9">
        <v>4</v>
      </c>
      <c r="BD2" s="9">
        <v>30</v>
      </c>
      <c r="BE2" s="9">
        <v>3</v>
      </c>
      <c r="BF2" s="9">
        <v>2080</v>
      </c>
      <c r="BG2" s="9">
        <v>2</v>
      </c>
      <c r="BH2" s="9">
        <v>46</v>
      </c>
      <c r="BI2" s="9">
        <v>3</v>
      </c>
      <c r="BJ2" s="9">
        <v>31</v>
      </c>
      <c r="BK2" s="9">
        <v>3</v>
      </c>
      <c r="BL2" s="9">
        <v>1</v>
      </c>
      <c r="BN2" s="9">
        <v>1</v>
      </c>
      <c r="BP2" s="9">
        <v>1</v>
      </c>
      <c r="BR2" s="9">
        <v>1</v>
      </c>
      <c r="BS2" s="9">
        <v>1</v>
      </c>
      <c r="BT2" s="18">
        <v>45327</v>
      </c>
      <c r="BU2" s="18">
        <v>45349</v>
      </c>
      <c r="BV2" s="9">
        <v>1</v>
      </c>
      <c r="BW2" s="9">
        <v>1</v>
      </c>
      <c r="BX2" s="9">
        <v>0</v>
      </c>
      <c r="BY2" s="9">
        <v>1</v>
      </c>
      <c r="BZ2" s="9">
        <v>0</v>
      </c>
      <c r="CA2" s="9">
        <v>1</v>
      </c>
      <c r="CB2" s="18"/>
      <c r="CC2" s="18"/>
      <c r="CD2" s="9">
        <v>0</v>
      </c>
      <c r="CE2" s="49">
        <v>0.225386171659056</v>
      </c>
      <c r="CF2" s="49">
        <v>0.200150608378561</v>
      </c>
      <c r="CG2" s="49">
        <v>0.189193137968339</v>
      </c>
      <c r="CH2" s="49">
        <v>0.18159063598794201</v>
      </c>
      <c r="CI2" s="49">
        <v>0.38340059696414502</v>
      </c>
      <c r="CJ2" s="49">
        <v>0.33318902490290397</v>
      </c>
      <c r="CK2" s="49">
        <v>0.29303886485159297</v>
      </c>
      <c r="CL2" s="49">
        <v>0.270638163900977</v>
      </c>
      <c r="CM2" s="49">
        <v>0.230773493688921</v>
      </c>
      <c r="CN2" s="49">
        <v>0.20814979467311701</v>
      </c>
      <c r="CO2" s="49">
        <v>0.193466645640651</v>
      </c>
      <c r="CP2" s="49">
        <v>0.19104563830667201</v>
      </c>
      <c r="CQ2" s="49">
        <v>0.48109115099400601</v>
      </c>
      <c r="CR2" s="49">
        <v>0.34353996491290101</v>
      </c>
      <c r="CS2" s="49">
        <v>0.367507940767546</v>
      </c>
      <c r="CT2" s="49">
        <v>0.40645216144940999</v>
      </c>
      <c r="CU2" s="49">
        <v>0.55939393939394</v>
      </c>
      <c r="CV2" s="49">
        <v>0.55939393939394</v>
      </c>
      <c r="CW2" s="49">
        <v>0.55939393939394</v>
      </c>
      <c r="CX2" s="49">
        <v>0.55484848484848504</v>
      </c>
      <c r="CY2" s="49">
        <v>0.68308080808080796</v>
      </c>
      <c r="CZ2" s="49">
        <v>0.69823232323232298</v>
      </c>
      <c r="DA2" s="49">
        <v>0.70959595959596</v>
      </c>
      <c r="DB2" s="49">
        <v>0.69696969696969702</v>
      </c>
      <c r="DC2" s="49">
        <v>0.39235838430410103</v>
      </c>
      <c r="DD2" s="49">
        <v>0.39235838430410103</v>
      </c>
      <c r="DE2" s="49">
        <v>0.39235838430410103</v>
      </c>
      <c r="DF2" s="49">
        <v>0.38079544665453502</v>
      </c>
      <c r="DG2" s="49">
        <v>0.72823913646215799</v>
      </c>
      <c r="DH2" s="49">
        <v>0.61534417940132402</v>
      </c>
      <c r="DI2" s="49">
        <v>0.74994416089259297</v>
      </c>
      <c r="DJ2" s="49">
        <v>0.87273748686683505</v>
      </c>
      <c r="DK2" s="49">
        <v>0.30512820512820499</v>
      </c>
      <c r="DL2" s="49">
        <v>0.30512820512820499</v>
      </c>
      <c r="DM2" s="49">
        <v>0.30512820512820499</v>
      </c>
      <c r="DN2" s="49">
        <v>0.28717948717948699</v>
      </c>
      <c r="DO2" s="49">
        <v>0.64945054945055003</v>
      </c>
      <c r="DP2" s="49">
        <v>0.50805860805860803</v>
      </c>
      <c r="DQ2" s="49">
        <v>0.54487179487179505</v>
      </c>
      <c r="DR2" s="49">
        <v>0.696703296703297</v>
      </c>
      <c r="DS2" s="49">
        <v>2.3818181818181801</v>
      </c>
      <c r="DT2" s="49">
        <v>2.3818181818181801</v>
      </c>
      <c r="DU2" s="49">
        <v>2.3818181818181801</v>
      </c>
      <c r="DV2" s="49">
        <v>2.4181818181818202</v>
      </c>
      <c r="DW2" s="49">
        <v>1.87878787878788</v>
      </c>
      <c r="DX2" s="49">
        <v>1.77272727272727</v>
      </c>
      <c r="DY2" s="49">
        <v>1.6969696969696999</v>
      </c>
      <c r="DZ2" s="49">
        <v>1.77272727272727</v>
      </c>
      <c r="EA2" s="49">
        <v>28.866476215497901</v>
      </c>
      <c r="EB2" s="49">
        <v>9.9107992264789804</v>
      </c>
      <c r="EC2" s="49">
        <v>4.6505417687788499</v>
      </c>
      <c r="ED2" s="49">
        <v>2.5269838529493298</v>
      </c>
      <c r="EE2" s="49">
        <v>119.920466758476</v>
      </c>
      <c r="EF2" s="49">
        <v>78.603855622898607</v>
      </c>
      <c r="EG2" s="49">
        <v>15.422158028015099</v>
      </c>
      <c r="EH2" s="49">
        <v>7.0185091829505</v>
      </c>
      <c r="EI2" s="49">
        <v>4.6573168033308701</v>
      </c>
      <c r="EJ2" s="49">
        <v>324.01597347871399</v>
      </c>
      <c r="EK2" s="49">
        <v>0.240713507842127</v>
      </c>
      <c r="EL2" s="49">
        <v>8.2644768606844193E-2</v>
      </c>
      <c r="EM2" s="49">
        <v>3.8780217376448399E-2</v>
      </c>
      <c r="EN2" s="49">
        <v>2.1072164921095302E-2</v>
      </c>
      <c r="EO2" s="49">
        <v>0.24259253264272301</v>
      </c>
      <c r="EP2" s="49">
        <v>4.75969066044463E-2</v>
      </c>
      <c r="EQ2" s="49">
        <v>2.1660997473667998E-2</v>
      </c>
      <c r="ER2" s="49">
        <v>1.4373725941128099E-2</v>
      </c>
    </row>
    <row r="3" spans="1:148" ht="28" customHeight="1">
      <c r="A3" s="17">
        <v>80</v>
      </c>
      <c r="B3" s="9">
        <f t="shared" si="0"/>
        <v>2</v>
      </c>
      <c r="C3">
        <v>2</v>
      </c>
      <c r="D3" s="9" t="s">
        <v>222</v>
      </c>
      <c r="E3" s="9">
        <v>66940573</v>
      </c>
      <c r="F3" s="37">
        <v>25.714285714285715</v>
      </c>
      <c r="G3" s="20">
        <v>1</v>
      </c>
      <c r="H3" s="18">
        <v>45364</v>
      </c>
      <c r="I3" s="9">
        <f t="shared" si="1"/>
        <v>77</v>
      </c>
      <c r="J3" s="9" t="s">
        <v>508</v>
      </c>
      <c r="K3" s="9">
        <v>3</v>
      </c>
      <c r="L3" s="9">
        <v>2</v>
      </c>
      <c r="M3" s="18">
        <v>45287</v>
      </c>
      <c r="N3" s="17">
        <v>14896</v>
      </c>
      <c r="O3" s="45">
        <v>87.271750805585384</v>
      </c>
      <c r="P3" s="17">
        <v>5</v>
      </c>
      <c r="Q3" s="17">
        <v>2</v>
      </c>
      <c r="R3" s="18">
        <v>45362</v>
      </c>
      <c r="S3" s="9">
        <v>2</v>
      </c>
      <c r="T3" s="9">
        <v>23</v>
      </c>
      <c r="U3" s="9">
        <v>65</v>
      </c>
      <c r="V3" s="9">
        <v>88</v>
      </c>
      <c r="W3" s="9">
        <v>3</v>
      </c>
      <c r="X3" s="9">
        <v>21</v>
      </c>
      <c r="Y3" s="9">
        <v>4</v>
      </c>
      <c r="Z3" s="9">
        <v>24</v>
      </c>
      <c r="AA3" s="9">
        <v>2</v>
      </c>
      <c r="AB3" s="9">
        <v>1</v>
      </c>
      <c r="AC3" s="9">
        <v>5</v>
      </c>
      <c r="AD3" s="9">
        <v>8</v>
      </c>
      <c r="AE3" s="9">
        <v>2</v>
      </c>
      <c r="AF3" s="9">
        <v>2</v>
      </c>
      <c r="AG3" s="9">
        <v>2</v>
      </c>
      <c r="AH3" s="9">
        <v>2</v>
      </c>
      <c r="AI3" s="9">
        <v>1</v>
      </c>
      <c r="AJ3" s="9">
        <v>1</v>
      </c>
      <c r="AK3" s="9">
        <v>1</v>
      </c>
      <c r="AL3" s="9">
        <v>48</v>
      </c>
      <c r="AM3" s="9">
        <v>2</v>
      </c>
      <c r="AN3" s="9">
        <v>1</v>
      </c>
      <c r="AO3" s="9" t="s">
        <v>496</v>
      </c>
      <c r="AP3" s="9" t="s">
        <v>497</v>
      </c>
      <c r="AQ3" s="9" t="s">
        <v>498</v>
      </c>
      <c r="AR3" s="9" t="s">
        <v>499</v>
      </c>
      <c r="AS3" s="9">
        <v>1</v>
      </c>
      <c r="AT3" s="9">
        <v>2</v>
      </c>
      <c r="AU3" s="9">
        <v>2</v>
      </c>
      <c r="AV3" s="9">
        <v>37</v>
      </c>
      <c r="AW3" s="9">
        <v>0</v>
      </c>
      <c r="AX3" s="37">
        <f t="shared" si="2"/>
        <v>37</v>
      </c>
      <c r="AY3" s="9">
        <v>860</v>
      </c>
      <c r="AZ3" s="9">
        <v>1</v>
      </c>
      <c r="BA3" s="9">
        <v>3</v>
      </c>
      <c r="BB3" s="9">
        <v>34</v>
      </c>
      <c r="BC3" s="9">
        <v>4</v>
      </c>
      <c r="BD3" s="9">
        <v>24</v>
      </c>
      <c r="BE3" s="9">
        <v>4</v>
      </c>
      <c r="BF3" s="9">
        <v>2110</v>
      </c>
      <c r="BG3" s="9">
        <v>2</v>
      </c>
      <c r="BH3" s="9">
        <v>43</v>
      </c>
      <c r="BI3" s="9">
        <v>2</v>
      </c>
      <c r="BJ3" s="9">
        <v>32</v>
      </c>
      <c r="BK3" s="9">
        <v>3</v>
      </c>
      <c r="BL3" s="9">
        <v>1</v>
      </c>
      <c r="BN3" s="9">
        <v>2</v>
      </c>
      <c r="BO3" s="9">
        <v>2</v>
      </c>
      <c r="BP3" s="9">
        <v>1</v>
      </c>
      <c r="BR3" s="9">
        <v>2</v>
      </c>
      <c r="BS3" s="9">
        <v>1</v>
      </c>
      <c r="BT3" s="18">
        <v>45287</v>
      </c>
      <c r="BU3" s="18">
        <v>45366</v>
      </c>
      <c r="BV3" s="9">
        <v>1</v>
      </c>
      <c r="BW3" s="9">
        <v>1</v>
      </c>
      <c r="BX3" s="9">
        <v>0</v>
      </c>
      <c r="BY3" s="9">
        <v>2</v>
      </c>
      <c r="BZ3" s="9">
        <v>66</v>
      </c>
      <c r="CA3" s="9">
        <v>1</v>
      </c>
      <c r="CB3" s="18">
        <v>45287</v>
      </c>
      <c r="CC3" s="18">
        <v>45357</v>
      </c>
      <c r="CD3" s="9">
        <v>71</v>
      </c>
      <c r="CE3" s="49">
        <v>0.27632472650819001</v>
      </c>
      <c r="CF3" s="49">
        <v>0.250381023760198</v>
      </c>
      <c r="CG3" s="49">
        <v>0.243454951844673</v>
      </c>
      <c r="CH3" s="49">
        <v>0.272678785585735</v>
      </c>
      <c r="CI3" s="49">
        <v>0.406195809545568</v>
      </c>
      <c r="CJ3" s="49">
        <v>0.41026008797958002</v>
      </c>
      <c r="CK3" s="49">
        <v>0.38660232588191501</v>
      </c>
      <c r="CL3" s="49">
        <v>0.38780873476678501</v>
      </c>
      <c r="CM3" s="49">
        <v>0.45615527084305901</v>
      </c>
      <c r="CN3" s="49">
        <v>0.42080574197806397</v>
      </c>
      <c r="CO3" s="49">
        <v>0.41961966987472898</v>
      </c>
      <c r="CP3" s="49">
        <v>0.38230496200137998</v>
      </c>
      <c r="CQ3" s="49">
        <v>0.54020580721239098</v>
      </c>
      <c r="CR3" s="49">
        <v>0.59477168501724598</v>
      </c>
      <c r="CS3" s="49">
        <v>0.56099636417435905</v>
      </c>
      <c r="CT3" s="49">
        <v>0.49622429131937701</v>
      </c>
      <c r="CU3" s="49">
        <v>0.60259259259259301</v>
      </c>
      <c r="CV3" s="49">
        <v>0.60925925925926006</v>
      </c>
      <c r="CW3" s="49">
        <v>0.62037037037037102</v>
      </c>
      <c r="CX3" s="49">
        <v>0.57272727272727297</v>
      </c>
      <c r="CY3" s="49">
        <v>0.764880952380952</v>
      </c>
      <c r="CZ3" s="49">
        <v>0.65384615384615397</v>
      </c>
      <c r="DA3" s="49">
        <v>0.65170940170940095</v>
      </c>
      <c r="DB3" s="49">
        <v>0.67948717948717896</v>
      </c>
      <c r="DC3" s="49">
        <v>0.55987823378006396</v>
      </c>
      <c r="DD3" s="49">
        <v>0.56292749119319996</v>
      </c>
      <c r="DE3" s="49">
        <v>0.58214324898565495</v>
      </c>
      <c r="DF3" s="49">
        <v>0.529020786763573</v>
      </c>
      <c r="DG3" s="49">
        <v>0.71962590002616</v>
      </c>
      <c r="DH3" s="49">
        <v>0.93918652612971099</v>
      </c>
      <c r="DI3" s="49">
        <v>0.94081122894705205</v>
      </c>
      <c r="DJ3" s="49">
        <v>0.83435872912147002</v>
      </c>
      <c r="DK3" s="49">
        <v>0.44871794871794901</v>
      </c>
      <c r="DL3" s="49">
        <v>0.47948717948718</v>
      </c>
      <c r="DM3" s="49">
        <v>0.497435897435897</v>
      </c>
      <c r="DN3" s="49">
        <v>0.502564102564103</v>
      </c>
      <c r="DO3" s="49">
        <v>0.61868131868131904</v>
      </c>
      <c r="DP3" s="49">
        <v>0.72802197802197799</v>
      </c>
      <c r="DQ3" s="49">
        <v>0.73589743589743595</v>
      </c>
      <c r="DR3" s="49">
        <v>0.57179487179487198</v>
      </c>
      <c r="DS3" s="49">
        <v>2.1777777777777798</v>
      </c>
      <c r="DT3" s="49">
        <v>2.0888888888888899</v>
      </c>
      <c r="DU3" s="49">
        <v>2.0222222222222199</v>
      </c>
      <c r="DV3" s="49">
        <v>2.2000000000000002</v>
      </c>
      <c r="DW3" s="49">
        <v>1.5178571428571399</v>
      </c>
      <c r="DX3" s="49">
        <v>1.8974358974359</v>
      </c>
      <c r="DY3" s="49">
        <v>1.9102564102564099</v>
      </c>
      <c r="DZ3" s="49">
        <v>1.7179487179487201</v>
      </c>
      <c r="EA3" s="49">
        <v>56.934876396069598</v>
      </c>
      <c r="EB3" s="49">
        <v>11.440455647886701</v>
      </c>
      <c r="EC3" s="49">
        <v>4.6275742314130799</v>
      </c>
      <c r="ED3" s="49">
        <v>2.5785062685244098</v>
      </c>
      <c r="EE3" s="49">
        <v>255.95417564573</v>
      </c>
      <c r="EF3" s="49">
        <v>35.1900817611496</v>
      </c>
      <c r="EG3" s="49">
        <v>7.1833419812138999</v>
      </c>
      <c r="EH3" s="49">
        <v>2.6771224313212798</v>
      </c>
      <c r="EI3" s="49">
        <v>1.6513418365258401</v>
      </c>
      <c r="EJ3" s="49">
        <v>174.27717164027399</v>
      </c>
      <c r="EK3" s="49">
        <v>0.22244167829039099</v>
      </c>
      <c r="EL3" s="49">
        <v>4.4697280749666703E-2</v>
      </c>
      <c r="EM3" s="49">
        <v>1.8079698132442999E-2</v>
      </c>
      <c r="EN3" s="49">
        <v>1.00740933880812E-2</v>
      </c>
      <c r="EO3" s="49">
        <v>0.20192020234173599</v>
      </c>
      <c r="EP3" s="49">
        <v>4.1217916917088003E-2</v>
      </c>
      <c r="EQ3" s="49">
        <v>1.53612914768156E-2</v>
      </c>
      <c r="ER3" s="49">
        <v>9.4753766140661302E-3</v>
      </c>
    </row>
    <row r="4" spans="1:148" ht="28" customHeight="1">
      <c r="A4" s="17">
        <v>81</v>
      </c>
      <c r="B4" s="9">
        <f t="shared" si="0"/>
        <v>3</v>
      </c>
      <c r="C4">
        <v>3</v>
      </c>
      <c r="D4" s="9" t="s">
        <v>221</v>
      </c>
      <c r="E4" s="9">
        <v>66986925</v>
      </c>
      <c r="F4" s="37">
        <v>26.857142857142858</v>
      </c>
      <c r="G4" s="20">
        <v>1</v>
      </c>
      <c r="H4" s="18">
        <v>45384</v>
      </c>
      <c r="I4" s="9">
        <f t="shared" si="1"/>
        <v>60</v>
      </c>
      <c r="J4" s="9" t="s">
        <v>86</v>
      </c>
      <c r="K4" s="9">
        <v>3</v>
      </c>
      <c r="L4" s="9">
        <v>2</v>
      </c>
      <c r="M4" s="18">
        <v>45324</v>
      </c>
      <c r="N4" s="17">
        <v>11276</v>
      </c>
      <c r="O4" s="45">
        <v>99.929052855622558</v>
      </c>
      <c r="P4" s="17">
        <v>5</v>
      </c>
      <c r="Q4" s="17">
        <v>2</v>
      </c>
      <c r="R4" s="18">
        <v>45384</v>
      </c>
      <c r="S4" s="9">
        <v>2</v>
      </c>
      <c r="T4" s="9">
        <v>7</v>
      </c>
      <c r="U4" s="9">
        <v>45</v>
      </c>
      <c r="V4" s="9">
        <v>52</v>
      </c>
      <c r="W4" s="9">
        <v>8</v>
      </c>
      <c r="X4" s="9">
        <v>16</v>
      </c>
      <c r="Y4" s="9">
        <v>8</v>
      </c>
      <c r="Z4" s="9">
        <v>13</v>
      </c>
      <c r="AA4" s="9">
        <v>2</v>
      </c>
      <c r="AB4" s="9">
        <v>1</v>
      </c>
      <c r="AC4" s="9">
        <v>5</v>
      </c>
      <c r="AD4" s="9">
        <v>6</v>
      </c>
      <c r="AE4" s="9">
        <v>1</v>
      </c>
      <c r="AF4" s="9">
        <v>2</v>
      </c>
      <c r="AG4" s="9">
        <v>1</v>
      </c>
      <c r="AH4" s="9">
        <v>1</v>
      </c>
      <c r="AI4" s="9">
        <v>1</v>
      </c>
      <c r="AJ4" s="9">
        <v>1</v>
      </c>
      <c r="AK4" s="9">
        <v>1</v>
      </c>
      <c r="AL4" s="9">
        <v>35</v>
      </c>
      <c r="AM4" s="9">
        <v>2</v>
      </c>
      <c r="AN4" s="9">
        <v>1</v>
      </c>
      <c r="AO4" s="9">
        <v>1</v>
      </c>
      <c r="AP4" s="9" t="s">
        <v>500</v>
      </c>
      <c r="AQ4" s="9" t="s">
        <v>501</v>
      </c>
      <c r="AR4" s="9" t="s">
        <v>502</v>
      </c>
      <c r="AS4" s="9">
        <v>1</v>
      </c>
      <c r="AT4" s="9">
        <v>2</v>
      </c>
      <c r="AU4" s="9">
        <v>1</v>
      </c>
      <c r="AV4" s="9">
        <v>35</v>
      </c>
      <c r="AW4" s="9">
        <v>0</v>
      </c>
      <c r="AX4" s="37">
        <f t="shared" si="2"/>
        <v>35</v>
      </c>
      <c r="AY4" s="9">
        <v>1240</v>
      </c>
      <c r="AZ4" s="9">
        <v>2</v>
      </c>
      <c r="BA4" s="9">
        <v>5</v>
      </c>
      <c r="BB4" s="9">
        <v>38</v>
      </c>
      <c r="BC4" s="9">
        <v>4</v>
      </c>
      <c r="BD4" s="9">
        <v>25</v>
      </c>
      <c r="BE4" s="9">
        <v>4</v>
      </c>
      <c r="BF4" s="9">
        <v>2340</v>
      </c>
      <c r="BG4" s="9">
        <v>3</v>
      </c>
      <c r="BH4" s="9">
        <v>36</v>
      </c>
      <c r="BI4" s="9">
        <v>1</v>
      </c>
      <c r="BJ4" s="9">
        <v>31</v>
      </c>
      <c r="BK4" s="9">
        <v>3</v>
      </c>
      <c r="BL4" s="9">
        <v>1</v>
      </c>
      <c r="BN4" s="9">
        <v>1</v>
      </c>
      <c r="BP4" s="9">
        <v>1</v>
      </c>
      <c r="BR4" s="9">
        <v>2</v>
      </c>
      <c r="BS4" s="9">
        <v>1</v>
      </c>
      <c r="BT4" s="18">
        <v>45324</v>
      </c>
      <c r="BU4" s="18">
        <v>45385</v>
      </c>
      <c r="BV4" s="9">
        <v>2</v>
      </c>
      <c r="BW4" s="9">
        <v>1</v>
      </c>
      <c r="BX4" s="9">
        <v>0</v>
      </c>
      <c r="BY4" s="9">
        <v>2</v>
      </c>
      <c r="BZ4" s="9">
        <v>47</v>
      </c>
      <c r="CA4" s="9">
        <v>2</v>
      </c>
      <c r="CB4" s="18">
        <v>45324</v>
      </c>
      <c r="CC4" s="18">
        <v>45365</v>
      </c>
      <c r="CD4" s="9">
        <v>42</v>
      </c>
      <c r="CE4" s="49">
        <v>0.254938072049195</v>
      </c>
      <c r="CF4" s="49">
        <v>0.27123099517794103</v>
      </c>
      <c r="CG4" s="49">
        <v>0.28072458131239802</v>
      </c>
      <c r="CH4" s="49">
        <v>0.278372210636818</v>
      </c>
      <c r="CI4" s="49">
        <v>0.456043870991163</v>
      </c>
      <c r="CJ4" s="49">
        <v>0.42234843612239298</v>
      </c>
      <c r="CK4" s="49">
        <v>0.43658019501602102</v>
      </c>
      <c r="CL4" s="49">
        <v>0.45280019320196502</v>
      </c>
      <c r="CM4" s="49">
        <v>0.43287736690498602</v>
      </c>
      <c r="CN4" s="49">
        <v>0.24104356201435501</v>
      </c>
      <c r="CO4" s="49">
        <v>0.246246450858812</v>
      </c>
      <c r="CP4" s="49">
        <v>0.32510728524089599</v>
      </c>
      <c r="CQ4" s="49">
        <v>0.49503291141743899</v>
      </c>
      <c r="CR4" s="49">
        <v>0.55728378875360796</v>
      </c>
      <c r="CS4" s="49">
        <v>0.56467467722819298</v>
      </c>
      <c r="CT4" s="49">
        <v>0.58832024883423395</v>
      </c>
      <c r="CU4" s="49">
        <v>0.69675925925925897</v>
      </c>
      <c r="CV4" s="49">
        <v>0.61594202898550698</v>
      </c>
      <c r="CW4" s="49">
        <v>0.61594202898550698</v>
      </c>
      <c r="CX4" s="49">
        <v>0.61594202898550698</v>
      </c>
      <c r="CY4" s="49">
        <v>0.63653846153846105</v>
      </c>
      <c r="CZ4" s="49">
        <v>0.63653846153846105</v>
      </c>
      <c r="DA4" s="49">
        <v>0.64145299145299095</v>
      </c>
      <c r="DB4" s="49">
        <v>0.64358974358974297</v>
      </c>
      <c r="DC4" s="49">
        <v>0.54208713378273699</v>
      </c>
      <c r="DD4" s="49">
        <v>0.31156409749903202</v>
      </c>
      <c r="DE4" s="49">
        <v>0.31156409749903202</v>
      </c>
      <c r="DF4" s="49">
        <v>0.42124017767351601</v>
      </c>
      <c r="DG4" s="49">
        <v>0.67711832512263603</v>
      </c>
      <c r="DH4" s="49">
        <v>0.83612982830486404</v>
      </c>
      <c r="DI4" s="49">
        <v>0.82334637682994904</v>
      </c>
      <c r="DJ4" s="49">
        <v>0.82719090419094399</v>
      </c>
      <c r="DK4" s="49">
        <v>0.43333333333333302</v>
      </c>
      <c r="DL4" s="49">
        <v>0.251282051282051</v>
      </c>
      <c r="DM4" s="49">
        <v>0.251282051282051</v>
      </c>
      <c r="DN4" s="49">
        <v>0.32051282051282098</v>
      </c>
      <c r="DO4" s="49">
        <v>0.56483516483516505</v>
      </c>
      <c r="DP4" s="49">
        <v>0.65457875457875503</v>
      </c>
      <c r="DQ4" s="49">
        <v>0.64835164835164805</v>
      </c>
      <c r="DR4" s="49">
        <v>0.66208791208791196</v>
      </c>
      <c r="DS4" s="49">
        <v>1.7222222222222201</v>
      </c>
      <c r="DT4" s="49">
        <v>2.0434782608695699</v>
      </c>
      <c r="DU4" s="49">
        <v>2.0434782608695699</v>
      </c>
      <c r="DV4" s="49">
        <v>2.0652173913043499</v>
      </c>
      <c r="DW4" s="49">
        <v>2.0769230769230802</v>
      </c>
      <c r="DX4" s="49">
        <v>2.0512820512820502</v>
      </c>
      <c r="DY4" s="49">
        <v>2</v>
      </c>
      <c r="DZ4" s="49">
        <v>1.9871794871794899</v>
      </c>
      <c r="EA4" s="49">
        <v>65.281158349731697</v>
      </c>
      <c r="EB4" s="49">
        <v>18.627030923195399</v>
      </c>
      <c r="EC4" s="49">
        <v>8.5182912129125405</v>
      </c>
      <c r="ED4" s="49">
        <v>5.3258870251413502</v>
      </c>
      <c r="EE4" s="49">
        <v>302.45117530258301</v>
      </c>
      <c r="EF4" s="49">
        <v>41.286363086106803</v>
      </c>
      <c r="EG4" s="49">
        <v>21.338675569247901</v>
      </c>
      <c r="EH4" s="49">
        <v>9.0933619241843608</v>
      </c>
      <c r="EI4" s="49">
        <v>5.1163811009975699</v>
      </c>
      <c r="EJ4" s="49">
        <v>200.52191611232101</v>
      </c>
      <c r="EK4" s="49">
        <v>0.21584031962984501</v>
      </c>
      <c r="EL4" s="49">
        <v>6.15869020993563E-2</v>
      </c>
      <c r="EM4" s="49">
        <v>2.81641861844E-2</v>
      </c>
      <c r="EN4" s="49">
        <v>1.7609080274901E-2</v>
      </c>
      <c r="EO4" s="49">
        <v>0.20589451710096601</v>
      </c>
      <c r="EP4" s="49">
        <v>0.106415677562622</v>
      </c>
      <c r="EQ4" s="49">
        <v>4.5348469137362298E-2</v>
      </c>
      <c r="ER4" s="49">
        <v>2.5515321218712299E-2</v>
      </c>
    </row>
    <row r="5" spans="1:148" ht="28" customHeight="1">
      <c r="A5" s="17">
        <v>61</v>
      </c>
      <c r="B5" s="9">
        <f t="shared" si="0"/>
        <v>4</v>
      </c>
      <c r="C5">
        <v>4</v>
      </c>
      <c r="D5" s="9" t="s">
        <v>204</v>
      </c>
      <c r="E5" s="9">
        <v>64886425</v>
      </c>
      <c r="F5" s="37">
        <v>28.428571428571427</v>
      </c>
      <c r="G5" s="9">
        <v>2</v>
      </c>
      <c r="H5" s="18">
        <v>44428</v>
      </c>
      <c r="I5" s="20">
        <f t="shared" si="1"/>
        <v>49</v>
      </c>
      <c r="J5" s="28" t="s">
        <v>86</v>
      </c>
      <c r="K5" s="9">
        <v>3</v>
      </c>
      <c r="L5" s="9">
        <v>2</v>
      </c>
      <c r="M5" s="18">
        <v>44379</v>
      </c>
      <c r="N5" s="17">
        <v>12856</v>
      </c>
      <c r="O5" s="45">
        <v>86.278780336029868</v>
      </c>
      <c r="P5" s="17">
        <v>5</v>
      </c>
      <c r="Q5" s="17">
        <v>1</v>
      </c>
      <c r="R5" s="18">
        <v>45537</v>
      </c>
      <c r="S5" s="9">
        <v>2</v>
      </c>
      <c r="T5" s="9">
        <v>15</v>
      </c>
      <c r="U5" s="9">
        <v>23</v>
      </c>
      <c r="V5" s="9">
        <v>38</v>
      </c>
      <c r="W5" s="9">
        <v>17</v>
      </c>
      <c r="X5" s="9">
        <v>5</v>
      </c>
      <c r="Y5" s="9">
        <v>12</v>
      </c>
      <c r="Z5" s="9">
        <v>17</v>
      </c>
      <c r="AA5" s="9">
        <v>1</v>
      </c>
      <c r="AB5" s="9">
        <v>1</v>
      </c>
      <c r="AC5" s="9">
        <v>8</v>
      </c>
      <c r="AD5" s="9">
        <v>8</v>
      </c>
      <c r="AE5" s="9">
        <v>1</v>
      </c>
      <c r="AF5" s="9">
        <v>2</v>
      </c>
      <c r="AG5" s="9">
        <v>2</v>
      </c>
      <c r="AH5" s="9">
        <v>1</v>
      </c>
      <c r="AI5" s="9">
        <v>1</v>
      </c>
      <c r="AJ5" s="9">
        <v>1</v>
      </c>
      <c r="AK5" s="9">
        <v>2</v>
      </c>
      <c r="AL5" s="9">
        <v>27</v>
      </c>
      <c r="AM5" s="9">
        <v>2</v>
      </c>
      <c r="AN5" s="9">
        <v>1</v>
      </c>
      <c r="AO5" s="9">
        <v>1</v>
      </c>
      <c r="AP5" s="9" t="s">
        <v>427</v>
      </c>
      <c r="AQ5" s="9" t="s">
        <v>428</v>
      </c>
      <c r="AR5" s="9" t="s">
        <v>429</v>
      </c>
      <c r="AS5" s="9">
        <v>1</v>
      </c>
      <c r="AT5" s="9">
        <v>2</v>
      </c>
      <c r="AU5" s="9">
        <v>4</v>
      </c>
      <c r="AV5" s="9">
        <v>37</v>
      </c>
      <c r="AW5" s="9">
        <v>6</v>
      </c>
      <c r="AX5" s="37">
        <f t="shared" si="2"/>
        <v>37.857142857142854</v>
      </c>
      <c r="AY5" s="9">
        <v>1400</v>
      </c>
      <c r="AZ5" s="9">
        <v>2</v>
      </c>
      <c r="BA5" s="9">
        <v>5</v>
      </c>
      <c r="BB5" s="9">
        <v>39</v>
      </c>
      <c r="BC5" s="9">
        <v>4</v>
      </c>
      <c r="BD5" s="9">
        <v>29</v>
      </c>
      <c r="BE5" s="9">
        <v>5</v>
      </c>
      <c r="BF5" s="9">
        <v>2320</v>
      </c>
      <c r="BG5" s="9">
        <v>2</v>
      </c>
      <c r="BH5" s="9">
        <v>45</v>
      </c>
      <c r="BI5" s="9">
        <v>3</v>
      </c>
      <c r="BJ5" s="9">
        <v>31</v>
      </c>
      <c r="BK5" s="9">
        <v>2</v>
      </c>
      <c r="BL5" s="9">
        <v>1</v>
      </c>
      <c r="BN5" s="9">
        <v>2</v>
      </c>
      <c r="BO5" s="9">
        <v>2</v>
      </c>
      <c r="BP5" s="9">
        <v>1</v>
      </c>
      <c r="BR5" s="9">
        <v>2</v>
      </c>
      <c r="BS5" s="9">
        <v>1</v>
      </c>
      <c r="BT5" s="18">
        <v>44379</v>
      </c>
      <c r="BU5" s="18">
        <v>45542</v>
      </c>
      <c r="BV5" s="9">
        <v>1</v>
      </c>
      <c r="BW5" s="9">
        <v>2</v>
      </c>
      <c r="BX5" s="9">
        <v>7</v>
      </c>
      <c r="BY5" s="9">
        <v>2</v>
      </c>
      <c r="BZ5" s="9">
        <v>30</v>
      </c>
      <c r="CA5" s="9">
        <v>1</v>
      </c>
      <c r="CB5" s="18">
        <v>44379</v>
      </c>
      <c r="CC5" s="18">
        <v>44426</v>
      </c>
      <c r="CD5" s="9">
        <v>48</v>
      </c>
      <c r="CE5" s="49">
        <v>0.24929998570758399</v>
      </c>
      <c r="CF5" s="49">
        <v>0.18509078552883301</v>
      </c>
      <c r="CG5" s="49">
        <v>0.29403693873501702</v>
      </c>
      <c r="CH5" s="49">
        <v>0.229482944423819</v>
      </c>
      <c r="CI5" s="49">
        <v>0.416323220831116</v>
      </c>
      <c r="CJ5" s="49">
        <v>0.38168586418268302</v>
      </c>
      <c r="CK5" s="49">
        <v>0.38544209429380299</v>
      </c>
      <c r="CL5" s="49">
        <v>0.38540527564064098</v>
      </c>
      <c r="CM5" s="49">
        <v>0.38542359517984598</v>
      </c>
      <c r="CN5" s="49">
        <v>0.31462136076209002</v>
      </c>
      <c r="CO5" s="49">
        <v>0.29027934428652502</v>
      </c>
      <c r="CP5" s="49">
        <v>0.26216697574507603</v>
      </c>
      <c r="CQ5" s="49">
        <v>0.63206122905730699</v>
      </c>
      <c r="CR5" s="49">
        <v>0.52833390331281105</v>
      </c>
      <c r="CS5" s="49">
        <v>0.49017380589111698</v>
      </c>
      <c r="CT5" s="49">
        <v>0.449912814104444</v>
      </c>
      <c r="CU5" s="49">
        <v>0.72549019607843201</v>
      </c>
      <c r="CV5" s="49">
        <v>0.80666666666666698</v>
      </c>
      <c r="CW5" s="49">
        <v>0.50252525252525304</v>
      </c>
      <c r="CX5" s="49">
        <v>0.68859649122806998</v>
      </c>
      <c r="CY5" s="49">
        <v>0.62606837606837595</v>
      </c>
      <c r="CZ5" s="49">
        <v>0.65170940170940195</v>
      </c>
      <c r="DA5" s="49">
        <v>0.66880341880341898</v>
      </c>
      <c r="DB5" s="49">
        <v>0.670940170940171</v>
      </c>
      <c r="DC5" s="49">
        <v>0.48960335134947802</v>
      </c>
      <c r="DD5" s="49">
        <v>0.44672721725014097</v>
      </c>
      <c r="DE5" s="49">
        <v>0.40628936006630401</v>
      </c>
      <c r="DF5" s="49">
        <v>0.37047268665625099</v>
      </c>
      <c r="DG5" s="49">
        <v>0.91400301517692495</v>
      </c>
      <c r="DH5" s="49">
        <v>0.85554379637620503</v>
      </c>
      <c r="DI5" s="49">
        <v>0.82770703074168295</v>
      </c>
      <c r="DJ5" s="49">
        <v>0.75297056374965499</v>
      </c>
      <c r="DK5" s="49">
        <v>0.41025641025641002</v>
      </c>
      <c r="DL5" s="49">
        <v>0.38974358974359002</v>
      </c>
      <c r="DM5" s="49">
        <v>0.29487179487179499</v>
      </c>
      <c r="DN5" s="49">
        <v>0.269230769230769</v>
      </c>
      <c r="DO5" s="49">
        <v>0.78608058608058595</v>
      </c>
      <c r="DP5" s="49">
        <v>0.764835164835165</v>
      </c>
      <c r="DQ5" s="49">
        <v>0.65805860805860805</v>
      </c>
      <c r="DR5" s="49">
        <v>0.62985347985347995</v>
      </c>
      <c r="DS5" s="49">
        <v>1.5882352941176501</v>
      </c>
      <c r="DT5" s="49">
        <v>1.44</v>
      </c>
      <c r="DU5" s="49">
        <v>2.74242424242424</v>
      </c>
      <c r="DV5" s="49">
        <v>1.7105263157894699</v>
      </c>
      <c r="DW5" s="49">
        <v>2.0769230769230802</v>
      </c>
      <c r="DX5" s="49">
        <v>1.8846153846153799</v>
      </c>
      <c r="DY5" s="49">
        <v>1.7820512820512799</v>
      </c>
      <c r="DZ5" s="49">
        <v>1.7692307692307701</v>
      </c>
      <c r="EA5" s="49">
        <v>64.335751849079998</v>
      </c>
      <c r="EB5" s="49">
        <v>16.364051694836199</v>
      </c>
      <c r="EC5" s="49">
        <v>7.62408471094421</v>
      </c>
      <c r="ED5" s="49">
        <v>5.0201146174210596</v>
      </c>
      <c r="EE5" s="49">
        <v>315.59766596345003</v>
      </c>
      <c r="EF5" s="49">
        <v>44.083106996822401</v>
      </c>
      <c r="EG5" s="49">
        <v>10.1526730499188</v>
      </c>
      <c r="EH5" s="49">
        <v>3.7691298452153998</v>
      </c>
      <c r="EI5" s="49">
        <v>2.1790056844497698</v>
      </c>
      <c r="EJ5" s="49">
        <v>199.25759792409099</v>
      </c>
      <c r="EK5" s="49">
        <v>0.203853699781578</v>
      </c>
      <c r="EL5" s="49">
        <v>5.1850990864841601E-2</v>
      </c>
      <c r="EM5" s="49">
        <v>2.4157608034487701E-2</v>
      </c>
      <c r="EN5" s="49">
        <v>1.5906691204752001E-2</v>
      </c>
      <c r="EO5" s="49">
        <v>0.221236768163873</v>
      </c>
      <c r="EP5" s="49">
        <v>5.09525014638917E-2</v>
      </c>
      <c r="EQ5" s="49">
        <v>1.8915865113717199E-2</v>
      </c>
      <c r="ER5" s="49">
        <v>1.0935621562997501E-2</v>
      </c>
    </row>
    <row r="6" spans="1:148" ht="28" customHeight="1">
      <c r="A6" s="17">
        <v>60</v>
      </c>
      <c r="B6" s="9">
        <f t="shared" si="0"/>
        <v>5</v>
      </c>
      <c r="C6">
        <v>5</v>
      </c>
      <c r="D6" s="9" t="s">
        <v>203</v>
      </c>
      <c r="E6" s="9">
        <v>64840009</v>
      </c>
      <c r="F6" s="37">
        <v>28</v>
      </c>
      <c r="G6" s="9">
        <v>2</v>
      </c>
      <c r="H6" s="18">
        <v>44370</v>
      </c>
      <c r="I6" s="20">
        <f t="shared" si="1"/>
        <v>57</v>
      </c>
      <c r="J6" s="28" t="s">
        <v>529</v>
      </c>
      <c r="K6" s="9">
        <v>3</v>
      </c>
      <c r="L6" s="9">
        <v>2</v>
      </c>
      <c r="M6" s="18">
        <v>44313</v>
      </c>
      <c r="N6" s="17">
        <v>13428</v>
      </c>
      <c r="O6" s="45">
        <v>98.659517426273453</v>
      </c>
      <c r="P6" s="17">
        <v>5</v>
      </c>
      <c r="Q6" s="17">
        <v>2</v>
      </c>
      <c r="R6" s="18">
        <v>44367</v>
      </c>
      <c r="S6" s="9">
        <v>2</v>
      </c>
      <c r="T6" s="9">
        <v>3</v>
      </c>
      <c r="U6" s="9">
        <v>34</v>
      </c>
      <c r="V6" s="9">
        <v>37</v>
      </c>
      <c r="W6" s="9">
        <v>1</v>
      </c>
      <c r="X6" s="9">
        <v>11</v>
      </c>
      <c r="Y6" s="9">
        <v>12</v>
      </c>
      <c r="Z6" s="9">
        <v>12</v>
      </c>
      <c r="AA6" s="9">
        <v>1</v>
      </c>
      <c r="AB6" s="9">
        <v>1</v>
      </c>
      <c r="AC6" s="9">
        <v>7</v>
      </c>
      <c r="AD6" s="9">
        <v>9</v>
      </c>
      <c r="AE6" s="9">
        <v>1</v>
      </c>
      <c r="AF6" s="9">
        <v>1</v>
      </c>
      <c r="AG6" s="9">
        <v>2</v>
      </c>
      <c r="AH6" s="9">
        <v>2</v>
      </c>
      <c r="AI6" s="9">
        <v>1</v>
      </c>
      <c r="AJ6" s="9">
        <v>2</v>
      </c>
      <c r="AK6" s="9">
        <v>1</v>
      </c>
      <c r="AL6" s="9">
        <v>29</v>
      </c>
      <c r="AM6" s="9">
        <v>1</v>
      </c>
      <c r="AN6" s="9">
        <v>1</v>
      </c>
      <c r="AO6" s="9" t="s">
        <v>423</v>
      </c>
      <c r="AP6" s="9" t="s">
        <v>424</v>
      </c>
      <c r="AQ6" s="9" t="s">
        <v>425</v>
      </c>
      <c r="AR6" s="9" t="s">
        <v>426</v>
      </c>
      <c r="AS6" s="9">
        <v>1</v>
      </c>
      <c r="AT6" s="9">
        <v>2</v>
      </c>
      <c r="AU6" s="9">
        <v>1</v>
      </c>
      <c r="AV6" s="9">
        <v>36</v>
      </c>
      <c r="AW6" s="9">
        <v>3</v>
      </c>
      <c r="AX6" s="37">
        <f t="shared" si="2"/>
        <v>36.428571428571431</v>
      </c>
      <c r="AY6" s="9">
        <v>1120</v>
      </c>
      <c r="AZ6" s="9">
        <v>2</v>
      </c>
      <c r="BA6" s="9">
        <v>4</v>
      </c>
      <c r="BB6" s="9">
        <v>36</v>
      </c>
      <c r="BC6" s="9">
        <v>3</v>
      </c>
      <c r="BD6" s="9">
        <v>26</v>
      </c>
      <c r="BE6" s="9">
        <v>3</v>
      </c>
      <c r="BF6" s="9">
        <v>2190</v>
      </c>
      <c r="BG6" s="9">
        <v>3</v>
      </c>
      <c r="BH6" s="9">
        <v>44</v>
      </c>
      <c r="BI6" s="9">
        <v>2</v>
      </c>
      <c r="BJ6" s="9">
        <v>33</v>
      </c>
      <c r="BK6" s="9">
        <v>3</v>
      </c>
      <c r="BL6" s="9">
        <v>1</v>
      </c>
      <c r="BN6" s="9">
        <v>1</v>
      </c>
      <c r="BP6" s="9">
        <v>1</v>
      </c>
      <c r="BR6" s="9">
        <v>1</v>
      </c>
      <c r="BS6" s="9">
        <v>2</v>
      </c>
      <c r="BT6" s="18">
        <v>44313</v>
      </c>
      <c r="BU6" s="18">
        <v>44373</v>
      </c>
      <c r="BV6" s="9">
        <v>1</v>
      </c>
      <c r="BW6" s="9">
        <v>1</v>
      </c>
      <c r="BX6" s="9">
        <v>0</v>
      </c>
      <c r="BY6" s="9">
        <v>2</v>
      </c>
      <c r="BZ6" s="9">
        <v>37</v>
      </c>
      <c r="CA6" s="9">
        <v>1</v>
      </c>
      <c r="CB6" s="18">
        <v>44313</v>
      </c>
      <c r="CC6" s="18">
        <v>44364</v>
      </c>
      <c r="CD6" s="9">
        <v>52</v>
      </c>
      <c r="CE6" s="49">
        <v>0.21757534944739501</v>
      </c>
      <c r="CF6" s="49">
        <v>0.21424779553394299</v>
      </c>
      <c r="CG6" s="49">
        <v>0.208919792144383</v>
      </c>
      <c r="CH6" s="49">
        <v>0.20595963039363499</v>
      </c>
      <c r="CI6" s="49">
        <v>0.42590990796614703</v>
      </c>
      <c r="CJ6" s="49">
        <v>0.39920164192177898</v>
      </c>
      <c r="CK6" s="49">
        <v>0.38595412051984501</v>
      </c>
      <c r="CL6" s="49">
        <v>0.37939005733687098</v>
      </c>
      <c r="CM6" s="49">
        <v>0.47872128874259801</v>
      </c>
      <c r="CN6" s="49">
        <v>0.56403058740210599</v>
      </c>
      <c r="CO6" s="49">
        <v>0.54849444865490404</v>
      </c>
      <c r="CP6" s="49">
        <v>0.45063504455915399</v>
      </c>
      <c r="CQ6" s="49">
        <v>0.64437156549387797</v>
      </c>
      <c r="CR6" s="49">
        <v>0.60782382666305701</v>
      </c>
      <c r="CS6" s="49">
        <v>0.58703036491542904</v>
      </c>
      <c r="CT6" s="49">
        <v>0.57542336672205496</v>
      </c>
      <c r="CU6" s="49">
        <v>0.79629629629629595</v>
      </c>
      <c r="CV6" s="49">
        <v>0.79012345679012397</v>
      </c>
      <c r="CW6" s="49">
        <v>0.79012345679012397</v>
      </c>
      <c r="CX6" s="49">
        <v>0.79629629629629595</v>
      </c>
      <c r="CY6" s="49">
        <v>0.76666666666666705</v>
      </c>
      <c r="CZ6" s="49">
        <v>0.76666666666666705</v>
      </c>
      <c r="DA6" s="49">
        <v>0.76969696969696999</v>
      </c>
      <c r="DB6" s="49">
        <v>0.76969696969696999</v>
      </c>
      <c r="DC6" s="49">
        <v>0.60480515517867195</v>
      </c>
      <c r="DD6" s="49">
        <v>0.70994023414202101</v>
      </c>
      <c r="DE6" s="49">
        <v>0.70994023414202101</v>
      </c>
      <c r="DF6" s="49">
        <v>0.60480515517867195</v>
      </c>
      <c r="DG6" s="49">
        <v>0.80898211370096995</v>
      </c>
      <c r="DH6" s="49">
        <v>0.81083027727105805</v>
      </c>
      <c r="DI6" s="49">
        <v>0.81204891576096405</v>
      </c>
      <c r="DJ6" s="49">
        <v>0.81204891576096405</v>
      </c>
      <c r="DK6" s="49">
        <v>0.56410256410256399</v>
      </c>
      <c r="DL6" s="49">
        <v>0.60769230769230798</v>
      </c>
      <c r="DM6" s="49">
        <v>0.60769230769230798</v>
      </c>
      <c r="DN6" s="49">
        <v>0.56410256410256399</v>
      </c>
      <c r="DO6" s="49">
        <v>0.67380952380952397</v>
      </c>
      <c r="DP6" s="49">
        <v>0.67893772893772897</v>
      </c>
      <c r="DQ6" s="49">
        <v>0.68540903540903497</v>
      </c>
      <c r="DR6" s="49">
        <v>0.68540903540903497</v>
      </c>
      <c r="DS6" s="49">
        <v>1.4074074074074101</v>
      </c>
      <c r="DT6" s="49">
        <v>1.44444444444444</v>
      </c>
      <c r="DU6" s="49">
        <v>1.44444444444444</v>
      </c>
      <c r="DV6" s="49">
        <v>1.4074074074074101</v>
      </c>
      <c r="DW6" s="49">
        <v>1.52727272727273</v>
      </c>
      <c r="DX6" s="49">
        <v>1.52727272727273</v>
      </c>
      <c r="DY6" s="49">
        <v>1.5090909090909099</v>
      </c>
      <c r="DZ6" s="49">
        <v>1.5090909090909099</v>
      </c>
      <c r="EA6" s="49">
        <v>24.801461990001201</v>
      </c>
      <c r="EB6" s="49">
        <v>6.8654219714703597</v>
      </c>
      <c r="EC6" s="49">
        <v>3.0358352112660598</v>
      </c>
      <c r="ED6" s="49">
        <v>1.62211004734737</v>
      </c>
      <c r="EE6" s="49">
        <v>124.73614691083</v>
      </c>
      <c r="EF6" s="49">
        <v>50.5318506359718</v>
      </c>
      <c r="EG6" s="49">
        <v>8.0447176630159394</v>
      </c>
      <c r="EH6" s="49">
        <v>2.4676010770608001</v>
      </c>
      <c r="EI6" s="49">
        <v>1.45393513510838</v>
      </c>
      <c r="EJ6" s="49">
        <v>244.080924577052</v>
      </c>
      <c r="EK6" s="49">
        <v>0.19883139414055301</v>
      </c>
      <c r="EL6" s="49">
        <v>5.5039554623875102E-2</v>
      </c>
      <c r="EM6" s="49">
        <v>2.4338055058220402E-2</v>
      </c>
      <c r="EN6" s="49">
        <v>1.30043302404311E-2</v>
      </c>
      <c r="EO6" s="49">
        <v>0.207029085634342</v>
      </c>
      <c r="EP6" s="49">
        <v>3.2959223163202801E-2</v>
      </c>
      <c r="EQ6" s="49">
        <v>1.01097661824115E-2</v>
      </c>
      <c r="ER6" s="49">
        <v>5.9567749410478696E-3</v>
      </c>
    </row>
    <row r="7" spans="1:148" ht="28" customHeight="1">
      <c r="A7" s="9">
        <v>32</v>
      </c>
      <c r="B7" s="9">
        <f t="shared" si="0"/>
        <v>6</v>
      </c>
      <c r="C7">
        <v>6</v>
      </c>
      <c r="D7" s="20" t="s">
        <v>201</v>
      </c>
      <c r="E7" s="20">
        <v>67050467</v>
      </c>
      <c r="F7" s="37">
        <v>31.142857142857142</v>
      </c>
      <c r="G7" s="9">
        <v>2</v>
      </c>
      <c r="H7" s="23" t="s">
        <v>69</v>
      </c>
      <c r="I7" s="24">
        <f t="shared" si="1"/>
        <v>35</v>
      </c>
      <c r="J7" s="25" t="s">
        <v>529</v>
      </c>
      <c r="K7" s="9">
        <v>3</v>
      </c>
      <c r="L7" s="9">
        <v>2</v>
      </c>
      <c r="M7" s="23" t="s">
        <v>63</v>
      </c>
      <c r="N7" s="17">
        <v>7792</v>
      </c>
      <c r="O7" s="45">
        <v>64.373716632443532</v>
      </c>
      <c r="P7" s="17">
        <v>4</v>
      </c>
      <c r="Q7" s="17">
        <v>1</v>
      </c>
      <c r="R7" s="18">
        <v>45434</v>
      </c>
      <c r="S7" s="9">
        <v>2</v>
      </c>
      <c r="T7" s="9">
        <v>3</v>
      </c>
      <c r="U7" s="9">
        <v>20</v>
      </c>
      <c r="V7" s="9">
        <v>23</v>
      </c>
      <c r="W7" s="9">
        <v>10</v>
      </c>
      <c r="X7" s="9">
        <v>16</v>
      </c>
      <c r="Y7" s="9">
        <v>5</v>
      </c>
      <c r="Z7" s="9">
        <v>9</v>
      </c>
      <c r="AA7" s="9">
        <v>1</v>
      </c>
      <c r="AB7" s="9">
        <v>1</v>
      </c>
      <c r="AC7" s="9">
        <v>10</v>
      </c>
      <c r="AD7" s="9">
        <v>10</v>
      </c>
      <c r="AE7" s="9">
        <v>1</v>
      </c>
      <c r="AF7" s="9">
        <v>2</v>
      </c>
      <c r="AG7" s="9">
        <v>1</v>
      </c>
      <c r="AH7" s="9">
        <v>1</v>
      </c>
      <c r="AI7" s="9">
        <v>2</v>
      </c>
      <c r="AJ7" s="9">
        <v>1</v>
      </c>
      <c r="AK7" s="9">
        <v>1</v>
      </c>
      <c r="AL7" s="9">
        <v>36</v>
      </c>
      <c r="AM7" s="9">
        <v>2</v>
      </c>
      <c r="AN7" s="9">
        <v>1</v>
      </c>
      <c r="AO7" s="17" t="s">
        <v>382</v>
      </c>
      <c r="AP7" s="31" t="s">
        <v>383</v>
      </c>
      <c r="AQ7" s="9" t="s">
        <v>145</v>
      </c>
      <c r="AR7" s="9" t="s">
        <v>144</v>
      </c>
      <c r="AS7" s="19">
        <v>1</v>
      </c>
      <c r="AT7" s="9">
        <v>2</v>
      </c>
      <c r="AU7" s="9">
        <v>1</v>
      </c>
      <c r="AV7" s="9">
        <v>37</v>
      </c>
      <c r="AW7" s="9">
        <v>3</v>
      </c>
      <c r="AX7" s="37">
        <f t="shared" si="2"/>
        <v>37.428571428571431</v>
      </c>
      <c r="AY7" s="9">
        <v>1375</v>
      </c>
      <c r="AZ7" s="9">
        <v>2</v>
      </c>
      <c r="BA7" s="9">
        <v>3</v>
      </c>
      <c r="BB7" s="9">
        <v>38</v>
      </c>
      <c r="BC7" s="9">
        <v>3</v>
      </c>
      <c r="BD7" s="9">
        <v>28</v>
      </c>
      <c r="BE7" s="9">
        <v>3</v>
      </c>
      <c r="BF7" s="9">
        <v>2305</v>
      </c>
      <c r="BG7" s="9">
        <v>3</v>
      </c>
      <c r="BH7" s="9">
        <v>45</v>
      </c>
      <c r="BI7" s="9">
        <v>3</v>
      </c>
      <c r="BJ7" s="9">
        <v>32</v>
      </c>
      <c r="BK7" s="9">
        <v>3</v>
      </c>
      <c r="BL7" s="9">
        <v>1</v>
      </c>
      <c r="BN7" s="9">
        <v>2</v>
      </c>
      <c r="BO7" s="9">
        <v>2</v>
      </c>
      <c r="BP7" s="9">
        <v>1</v>
      </c>
      <c r="BR7" s="9">
        <v>1</v>
      </c>
      <c r="BS7" s="9">
        <v>1</v>
      </c>
      <c r="BT7" s="18">
        <v>45393</v>
      </c>
      <c r="BU7" s="18">
        <v>45438</v>
      </c>
      <c r="BV7" s="9">
        <v>1</v>
      </c>
      <c r="BW7" s="9">
        <v>1</v>
      </c>
      <c r="BX7" s="9">
        <v>0</v>
      </c>
      <c r="BY7" s="9">
        <v>1</v>
      </c>
      <c r="BZ7" s="9">
        <v>0</v>
      </c>
      <c r="CA7" s="9">
        <v>1</v>
      </c>
      <c r="CB7" s="18">
        <v>45394</v>
      </c>
      <c r="CC7" s="18">
        <v>45415</v>
      </c>
      <c r="CD7" s="9">
        <v>22</v>
      </c>
      <c r="CE7" s="49">
        <v>0.22650808001030001</v>
      </c>
      <c r="CF7" s="49">
        <v>0.35903584955673101</v>
      </c>
      <c r="CG7" s="49">
        <v>0.345397002830096</v>
      </c>
      <c r="CH7" s="49">
        <v>0.33504088783622898</v>
      </c>
      <c r="CI7" s="49">
        <v>0.50220403846196005</v>
      </c>
      <c r="CJ7" s="49">
        <v>0.448867464244674</v>
      </c>
      <c r="CK7" s="49">
        <v>0.42957714559912802</v>
      </c>
      <c r="CL7" s="49">
        <v>0.414977408867718</v>
      </c>
      <c r="CM7" s="49">
        <v>0.46599459445799202</v>
      </c>
      <c r="CN7" s="49">
        <v>0.30606285138640899</v>
      </c>
      <c r="CO7" s="49">
        <v>0.29586039513018197</v>
      </c>
      <c r="CP7" s="49">
        <v>0.28357162079027198</v>
      </c>
      <c r="CQ7" s="49">
        <v>0.71455175276508498</v>
      </c>
      <c r="CR7" s="49">
        <v>0.65446675878611804</v>
      </c>
      <c r="CS7" s="49">
        <v>0.57793441443373805</v>
      </c>
      <c r="CT7" s="49">
        <v>0.59492107933208205</v>
      </c>
      <c r="CU7" s="49">
        <v>0.73888888888888904</v>
      </c>
      <c r="CV7" s="49">
        <v>0.46840659340659302</v>
      </c>
      <c r="CW7" s="49">
        <v>0.46840659340659302</v>
      </c>
      <c r="CX7" s="49">
        <v>0.46840659340659302</v>
      </c>
      <c r="CY7" s="49">
        <v>0.65598290598290498</v>
      </c>
      <c r="CZ7" s="49">
        <v>0.65705128205128205</v>
      </c>
      <c r="DA7" s="49">
        <v>0.66239316239316204</v>
      </c>
      <c r="DB7" s="49">
        <v>0.66025641025641002</v>
      </c>
      <c r="DC7" s="49">
        <v>0.58405004720370102</v>
      </c>
      <c r="DD7" s="49">
        <v>0.39310081928552698</v>
      </c>
      <c r="DE7" s="49">
        <v>0.39310081928552698</v>
      </c>
      <c r="DF7" s="49">
        <v>0.39310081928552698</v>
      </c>
      <c r="DG7" s="49">
        <v>0.92678144233644399</v>
      </c>
      <c r="DH7" s="49">
        <v>0.93939667713073405</v>
      </c>
      <c r="DI7" s="49">
        <v>0.87093645759390603</v>
      </c>
      <c r="DJ7" s="49">
        <v>0.93696886241205601</v>
      </c>
      <c r="DK7" s="49">
        <v>0.512820512820513</v>
      </c>
      <c r="DL7" s="49">
        <v>0.33333333333333298</v>
      </c>
      <c r="DM7" s="49">
        <v>0.33333333333333298</v>
      </c>
      <c r="DN7" s="49">
        <v>0.33333333333333298</v>
      </c>
      <c r="DO7" s="49">
        <v>0.80897435897435899</v>
      </c>
      <c r="DP7" s="49">
        <v>0.73479853479853496</v>
      </c>
      <c r="DQ7" s="49">
        <v>0.74578754578754602</v>
      </c>
      <c r="DR7" s="49">
        <v>0.72344322344322298</v>
      </c>
      <c r="DS7" s="49">
        <v>1.63333333333333</v>
      </c>
      <c r="DT7" s="49">
        <v>2.97435897435897</v>
      </c>
      <c r="DU7" s="49">
        <v>2.97435897435897</v>
      </c>
      <c r="DV7" s="49">
        <v>2.97435897435897</v>
      </c>
      <c r="DW7" s="49">
        <v>1.8589743589743599</v>
      </c>
      <c r="DX7" s="49">
        <v>1.8589743589743599</v>
      </c>
      <c r="DY7" s="49">
        <v>1.82051282051282</v>
      </c>
      <c r="DZ7" s="49">
        <v>1.8333333333333299</v>
      </c>
      <c r="EA7" s="49">
        <v>31.170131764131099</v>
      </c>
      <c r="EB7" s="49">
        <v>6.3434930615518796</v>
      </c>
      <c r="EC7" s="49">
        <v>3.6897259428432001</v>
      </c>
      <c r="ED7" s="49">
        <v>2.3108404418291202</v>
      </c>
      <c r="EE7" s="49">
        <v>187.560620558675</v>
      </c>
      <c r="EF7" s="49">
        <v>44.147772872260298</v>
      </c>
      <c r="EG7" s="49">
        <v>10.5064275882881</v>
      </c>
      <c r="EH7" s="49">
        <v>4.7065896501385502</v>
      </c>
      <c r="EI7" s="49">
        <v>2.4772300009063599</v>
      </c>
      <c r="EJ7" s="49">
        <v>210.149826956651</v>
      </c>
      <c r="EK7" s="49">
        <v>0.16618697289061299</v>
      </c>
      <c r="EL7" s="49">
        <v>3.38210283302375E-2</v>
      </c>
      <c r="EM7" s="49">
        <v>1.96721781568692E-2</v>
      </c>
      <c r="EN7" s="49">
        <v>1.2320499020241901E-2</v>
      </c>
      <c r="EO7" s="49">
        <v>0.21007760754124599</v>
      </c>
      <c r="EP7" s="49">
        <v>4.9994938089838598E-2</v>
      </c>
      <c r="EQ7" s="49">
        <v>2.2396352727472899E-2</v>
      </c>
      <c r="ER7" s="49">
        <v>1.1787923106010199E-2</v>
      </c>
    </row>
    <row r="8" spans="1:148" ht="28" customHeight="1">
      <c r="A8" s="9">
        <v>34</v>
      </c>
      <c r="B8" s="9">
        <f t="shared" si="0"/>
        <v>7</v>
      </c>
      <c r="C8">
        <v>7</v>
      </c>
      <c r="D8" s="20" t="s">
        <v>115</v>
      </c>
      <c r="E8" s="20">
        <v>67049139</v>
      </c>
      <c r="F8" s="37">
        <v>29.714285714285715</v>
      </c>
      <c r="G8" s="9">
        <v>2</v>
      </c>
      <c r="H8" s="27">
        <v>45432</v>
      </c>
      <c r="I8" s="24">
        <f t="shared" si="1"/>
        <v>40</v>
      </c>
      <c r="J8" s="25" t="s">
        <v>86</v>
      </c>
      <c r="K8" s="9">
        <v>3</v>
      </c>
      <c r="L8" s="9">
        <v>2</v>
      </c>
      <c r="M8" s="23" t="s">
        <v>63</v>
      </c>
      <c r="N8" s="17">
        <v>9344</v>
      </c>
      <c r="O8" s="45">
        <v>61.344178082191782</v>
      </c>
      <c r="P8" s="17">
        <v>4</v>
      </c>
      <c r="Q8" s="17">
        <v>2</v>
      </c>
      <c r="R8" s="18">
        <v>45455</v>
      </c>
      <c r="S8" s="9">
        <v>2</v>
      </c>
      <c r="T8" s="9">
        <v>3</v>
      </c>
      <c r="U8" s="9">
        <v>36</v>
      </c>
      <c r="V8" s="9">
        <v>39</v>
      </c>
      <c r="W8" s="9">
        <v>3</v>
      </c>
      <c r="X8" s="9">
        <v>16</v>
      </c>
      <c r="Y8" s="9">
        <v>8</v>
      </c>
      <c r="Z8" s="9">
        <v>6</v>
      </c>
      <c r="AA8" s="9">
        <v>2</v>
      </c>
      <c r="AB8" s="9">
        <v>1</v>
      </c>
      <c r="AC8" s="9">
        <v>10</v>
      </c>
      <c r="AD8" s="9">
        <v>10</v>
      </c>
      <c r="AE8" s="9">
        <v>1</v>
      </c>
      <c r="AF8" s="9">
        <v>2</v>
      </c>
      <c r="AG8" s="9">
        <v>1</v>
      </c>
      <c r="AH8" s="9">
        <v>1</v>
      </c>
      <c r="AI8" s="9">
        <v>1</v>
      </c>
      <c r="AJ8" s="9">
        <v>1</v>
      </c>
      <c r="AK8" s="9">
        <v>1</v>
      </c>
      <c r="AL8" s="9">
        <v>30</v>
      </c>
      <c r="AM8" s="9">
        <v>2</v>
      </c>
      <c r="AN8" s="9">
        <v>1</v>
      </c>
      <c r="AO8" s="9">
        <v>1</v>
      </c>
      <c r="AP8" s="31" t="s">
        <v>384</v>
      </c>
      <c r="AQ8" s="9" t="s">
        <v>143</v>
      </c>
      <c r="AR8" s="9" t="s">
        <v>142</v>
      </c>
      <c r="AS8" s="9">
        <v>1</v>
      </c>
      <c r="AT8" s="9">
        <v>2</v>
      </c>
      <c r="AU8" s="9">
        <v>1</v>
      </c>
      <c r="AV8" s="9">
        <v>36</v>
      </c>
      <c r="AW8" s="9">
        <v>1</v>
      </c>
      <c r="AX8" s="37">
        <f t="shared" si="2"/>
        <v>36.142857142857146</v>
      </c>
      <c r="AY8" s="9">
        <v>1500</v>
      </c>
      <c r="AZ8" s="9">
        <v>2</v>
      </c>
      <c r="BA8" s="9">
        <v>4</v>
      </c>
      <c r="BB8" s="9">
        <v>41</v>
      </c>
      <c r="BC8" s="9">
        <v>4</v>
      </c>
      <c r="BD8" s="9">
        <v>27</v>
      </c>
      <c r="BE8" s="9">
        <v>3</v>
      </c>
      <c r="BF8" s="9">
        <v>2590</v>
      </c>
      <c r="BG8" s="9">
        <v>4</v>
      </c>
      <c r="BH8" s="9">
        <v>46</v>
      </c>
      <c r="BI8" s="9">
        <v>3</v>
      </c>
      <c r="BJ8" s="9">
        <v>31</v>
      </c>
      <c r="BK8" s="9">
        <v>3</v>
      </c>
      <c r="BL8" s="9">
        <v>1</v>
      </c>
      <c r="BN8" s="9">
        <v>2</v>
      </c>
      <c r="BO8" s="9">
        <v>1</v>
      </c>
      <c r="BP8" s="9">
        <v>1</v>
      </c>
      <c r="BR8" s="9">
        <v>1</v>
      </c>
      <c r="BS8" s="9">
        <v>1</v>
      </c>
      <c r="BT8" s="18">
        <v>45392</v>
      </c>
      <c r="BU8" s="18">
        <v>45438</v>
      </c>
      <c r="BV8" s="9">
        <v>1</v>
      </c>
      <c r="BW8" s="9">
        <v>1</v>
      </c>
      <c r="BX8" s="9">
        <v>0</v>
      </c>
      <c r="BY8" s="9">
        <v>2</v>
      </c>
      <c r="BZ8" s="9">
        <v>50</v>
      </c>
      <c r="CA8" s="9">
        <v>1</v>
      </c>
      <c r="CB8" s="18">
        <v>45393</v>
      </c>
      <c r="CC8" s="18">
        <v>45428</v>
      </c>
      <c r="CD8" s="9">
        <v>36</v>
      </c>
      <c r="CE8" s="49">
        <v>0.23683207127318101</v>
      </c>
      <c r="CF8" s="49">
        <v>0.27121919654756899</v>
      </c>
      <c r="CG8" s="49">
        <v>0.25151379415455999</v>
      </c>
      <c r="CH8" s="49">
        <v>0.27116439680733101</v>
      </c>
      <c r="CI8" s="49">
        <v>0.44328135522940698</v>
      </c>
      <c r="CJ8" s="49">
        <v>0.38051026638389002</v>
      </c>
      <c r="CK8" s="49">
        <v>0.36206759492998197</v>
      </c>
      <c r="CL8" s="49">
        <v>0.39851647730196799</v>
      </c>
      <c r="CM8" s="49">
        <v>0.46171312374137502</v>
      </c>
      <c r="CN8" s="49">
        <v>0.313094537824402</v>
      </c>
      <c r="CO8" s="49">
        <v>0.269871667313476</v>
      </c>
      <c r="CP8" s="49">
        <v>0.294202090692815</v>
      </c>
      <c r="CQ8" s="49">
        <v>0.49430263332657798</v>
      </c>
      <c r="CR8" s="49">
        <v>0.50714276699223004</v>
      </c>
      <c r="CS8" s="49">
        <v>0.55319768867960994</v>
      </c>
      <c r="CT8" s="49">
        <v>0.52880719255678599</v>
      </c>
      <c r="CU8" s="49">
        <v>0.69907407407407396</v>
      </c>
      <c r="CV8" s="49">
        <v>0.57030303030303098</v>
      </c>
      <c r="CW8" s="49">
        <v>0.63518518518518496</v>
      </c>
      <c r="CX8" s="49">
        <v>0.56878787878787895</v>
      </c>
      <c r="CY8" s="49">
        <v>0.64743589743589702</v>
      </c>
      <c r="CZ8" s="49">
        <v>0.76969696969696999</v>
      </c>
      <c r="DA8" s="49">
        <v>0.844444444444444</v>
      </c>
      <c r="DB8" s="49">
        <v>0.77575757575757598</v>
      </c>
      <c r="DC8" s="49">
        <v>0.62243082317785603</v>
      </c>
      <c r="DD8" s="49">
        <v>0.45191365328512001</v>
      </c>
      <c r="DE8" s="49">
        <v>0.38248233265477599</v>
      </c>
      <c r="DF8" s="49">
        <v>0.42234136193064098</v>
      </c>
      <c r="DG8" s="49">
        <v>0.70690691226442104</v>
      </c>
      <c r="DH8" s="49">
        <v>0.71268783159124005</v>
      </c>
      <c r="DI8" s="49">
        <v>0.73931623931623902</v>
      </c>
      <c r="DJ8" s="49">
        <v>0.71605519953082497</v>
      </c>
      <c r="DK8" s="49">
        <v>0.54102564102564099</v>
      </c>
      <c r="DL8" s="49">
        <v>0.37179487179487197</v>
      </c>
      <c r="DM8" s="49">
        <v>0.28717948717948699</v>
      </c>
      <c r="DN8" s="49">
        <v>0.33333333333333298</v>
      </c>
      <c r="DO8" s="49">
        <v>0.66794871794871802</v>
      </c>
      <c r="DP8" s="49">
        <v>0.69597069597069605</v>
      </c>
      <c r="DQ8" s="49">
        <v>0.73931623931623902</v>
      </c>
      <c r="DR8" s="49">
        <v>0.70054945054945095</v>
      </c>
      <c r="DS8" s="49">
        <v>1.69444444444444</v>
      </c>
      <c r="DT8" s="49">
        <v>2.2363636363636399</v>
      </c>
      <c r="DU8" s="49">
        <v>1.9111111111111101</v>
      </c>
      <c r="DV8" s="49">
        <v>2.2363636363636399</v>
      </c>
      <c r="DW8" s="49">
        <v>1.9358974358974399</v>
      </c>
      <c r="DX8" s="49">
        <v>1.5090909090909099</v>
      </c>
      <c r="DY8" s="49">
        <v>1.31111111111111</v>
      </c>
      <c r="DZ8" s="49">
        <v>1.47272727272727</v>
      </c>
      <c r="EA8" s="49">
        <v>51.2339932032802</v>
      </c>
      <c r="EB8" s="49">
        <v>11.889663813660199</v>
      </c>
      <c r="EC8" s="49">
        <v>4.5986660252919496</v>
      </c>
      <c r="ED8" s="49">
        <v>3.1105125187353702</v>
      </c>
      <c r="EE8" s="49">
        <v>226.511034174586</v>
      </c>
      <c r="EF8" s="49">
        <v>22.700001949678001</v>
      </c>
      <c r="EG8" s="49">
        <v>9.6675703549798602</v>
      </c>
      <c r="EH8" s="49">
        <v>4.2909807910846904</v>
      </c>
      <c r="EI8" s="49">
        <v>2.11690798057908</v>
      </c>
      <c r="EJ8" s="49">
        <v>110.783880203816</v>
      </c>
      <c r="EK8" s="49">
        <v>0.22618762653209701</v>
      </c>
      <c r="EL8" s="49">
        <v>5.2490439845398799E-2</v>
      </c>
      <c r="EM8" s="49">
        <v>2.03021722188928E-2</v>
      </c>
      <c r="EN8" s="49">
        <v>1.3732278120888E-2</v>
      </c>
      <c r="EO8" s="49">
        <v>0.204903474295316</v>
      </c>
      <c r="EP8" s="49">
        <v>8.7265135841006994E-2</v>
      </c>
      <c r="EQ8" s="49">
        <v>3.8732898533525802E-2</v>
      </c>
      <c r="ER8" s="49">
        <v>1.91084476973046E-2</v>
      </c>
    </row>
    <row r="9" spans="1:148" ht="28" customHeight="1">
      <c r="A9" s="9">
        <v>27</v>
      </c>
      <c r="B9" s="9">
        <f t="shared" si="0"/>
        <v>8</v>
      </c>
      <c r="C9">
        <v>8</v>
      </c>
      <c r="D9" s="20" t="s">
        <v>111</v>
      </c>
      <c r="E9" s="20">
        <v>67083759</v>
      </c>
      <c r="F9" s="37">
        <v>29.714285714285715</v>
      </c>
      <c r="G9" s="9">
        <v>2</v>
      </c>
      <c r="H9" s="27">
        <v>45470</v>
      </c>
      <c r="I9" s="24">
        <f t="shared" si="1"/>
        <v>41</v>
      </c>
      <c r="J9" s="25" t="s">
        <v>86</v>
      </c>
      <c r="K9" s="9">
        <v>3</v>
      </c>
      <c r="L9" s="9">
        <v>2</v>
      </c>
      <c r="M9" s="23" t="s">
        <v>64</v>
      </c>
      <c r="N9" s="17">
        <v>4904</v>
      </c>
      <c r="O9" s="45">
        <v>57.422512234910272</v>
      </c>
      <c r="P9" s="17">
        <v>4</v>
      </c>
      <c r="Q9" s="17">
        <v>2</v>
      </c>
      <c r="R9" s="18">
        <v>45458</v>
      </c>
      <c r="S9" s="9">
        <v>2</v>
      </c>
      <c r="T9" s="9">
        <v>2</v>
      </c>
      <c r="U9" s="9">
        <v>18</v>
      </c>
      <c r="V9" s="9">
        <v>20</v>
      </c>
      <c r="W9" s="9">
        <v>8</v>
      </c>
      <c r="X9" s="9">
        <v>14</v>
      </c>
      <c r="Y9" s="9">
        <v>6</v>
      </c>
      <c r="Z9" s="9">
        <v>14</v>
      </c>
      <c r="AA9" s="9">
        <v>2</v>
      </c>
      <c r="AB9" s="9">
        <v>2</v>
      </c>
      <c r="AC9" s="9">
        <v>9</v>
      </c>
      <c r="AD9" s="9">
        <v>10</v>
      </c>
      <c r="AE9" s="9">
        <v>2</v>
      </c>
      <c r="AF9" s="9">
        <v>1</v>
      </c>
      <c r="AG9" s="9">
        <v>2</v>
      </c>
      <c r="AH9" s="9">
        <v>2</v>
      </c>
      <c r="AI9" s="9">
        <v>1</v>
      </c>
      <c r="AJ9" s="9">
        <v>1</v>
      </c>
      <c r="AK9" s="9">
        <v>1</v>
      </c>
      <c r="AL9" s="9">
        <v>30</v>
      </c>
      <c r="AM9" s="9">
        <v>1</v>
      </c>
      <c r="AN9" s="9">
        <v>1</v>
      </c>
      <c r="AO9" s="9" t="s">
        <v>334</v>
      </c>
      <c r="AQ9" s="9" t="s">
        <v>149</v>
      </c>
      <c r="AR9" s="9" t="s">
        <v>148</v>
      </c>
      <c r="AS9" s="9">
        <v>1</v>
      </c>
      <c r="AT9" s="9">
        <v>2</v>
      </c>
      <c r="AU9" s="9">
        <v>1</v>
      </c>
      <c r="AV9" s="9">
        <v>36</v>
      </c>
      <c r="AW9" s="9">
        <v>2</v>
      </c>
      <c r="AX9" s="37">
        <f t="shared" si="2"/>
        <v>36.285714285714285</v>
      </c>
      <c r="AY9" s="9">
        <v>1415</v>
      </c>
      <c r="AZ9" s="9">
        <v>2</v>
      </c>
      <c r="BA9" s="9">
        <v>4</v>
      </c>
      <c r="BB9" s="9">
        <v>37</v>
      </c>
      <c r="BC9" s="9">
        <v>3</v>
      </c>
      <c r="BD9" s="9">
        <v>27</v>
      </c>
      <c r="BE9" s="9">
        <v>4</v>
      </c>
      <c r="BF9" s="9">
        <v>2150</v>
      </c>
      <c r="BG9" s="9">
        <v>2</v>
      </c>
      <c r="BH9" s="9">
        <v>43</v>
      </c>
      <c r="BI9" s="9">
        <v>2</v>
      </c>
      <c r="BJ9" s="9">
        <v>32</v>
      </c>
      <c r="BK9" s="9">
        <v>2</v>
      </c>
      <c r="BL9" s="9">
        <v>1</v>
      </c>
      <c r="BN9" s="9">
        <v>2</v>
      </c>
      <c r="BO9" s="9">
        <v>1</v>
      </c>
      <c r="BP9" s="9">
        <v>1</v>
      </c>
      <c r="BR9" s="9">
        <v>2</v>
      </c>
      <c r="BS9" s="9">
        <v>1</v>
      </c>
      <c r="BT9" s="42">
        <v>45429</v>
      </c>
      <c r="BU9" s="18">
        <v>45476</v>
      </c>
      <c r="BV9" s="9">
        <v>1</v>
      </c>
      <c r="BW9" s="9">
        <v>1</v>
      </c>
      <c r="BX9" s="9">
        <v>0</v>
      </c>
      <c r="BY9" s="9">
        <v>2</v>
      </c>
      <c r="BZ9" s="9">
        <v>107</v>
      </c>
      <c r="CA9" s="9">
        <v>1</v>
      </c>
      <c r="CB9" s="18">
        <v>45429</v>
      </c>
      <c r="CC9" s="18">
        <v>45449</v>
      </c>
      <c r="CD9" s="9">
        <v>21</v>
      </c>
      <c r="CE9" s="49">
        <v>0.27223224069410901</v>
      </c>
      <c r="CF9" s="49">
        <v>0.33434860589631599</v>
      </c>
      <c r="CG9" s="49">
        <v>0.347885495192225</v>
      </c>
      <c r="CH9" s="49">
        <v>0.31473003193298599</v>
      </c>
      <c r="CI9" s="49">
        <v>0.41219337432227099</v>
      </c>
      <c r="CJ9" s="49">
        <v>0.40525374470993603</v>
      </c>
      <c r="CK9" s="49">
        <v>0.42426556966808898</v>
      </c>
      <c r="CL9" s="49">
        <v>0.40134982051129697</v>
      </c>
      <c r="CM9" s="49">
        <v>0.36019350115479098</v>
      </c>
      <c r="CN9" s="49">
        <v>0.228327530160815</v>
      </c>
      <c r="CO9" s="49">
        <v>0.244709326923434</v>
      </c>
      <c r="CP9" s="49">
        <v>0.28080393403051601</v>
      </c>
      <c r="CQ9" s="49">
        <v>0.53343908687723596</v>
      </c>
      <c r="CR9" s="49">
        <v>0.48786103140145498</v>
      </c>
      <c r="CS9" s="49">
        <v>0.50531495868238696</v>
      </c>
      <c r="CT9" s="49">
        <v>0.46556824300866501</v>
      </c>
      <c r="CU9" s="49">
        <v>0.60074074074074102</v>
      </c>
      <c r="CV9" s="49">
        <v>0.46541514041514098</v>
      </c>
      <c r="CW9" s="49">
        <v>0.46797924297924298</v>
      </c>
      <c r="CX9" s="49">
        <v>0.51060606060606095</v>
      </c>
      <c r="CY9" s="49">
        <v>0.71464646464646497</v>
      </c>
      <c r="CZ9" s="49">
        <v>0.64957264957264904</v>
      </c>
      <c r="DA9" s="49">
        <v>0.64850427350427298</v>
      </c>
      <c r="DB9" s="49">
        <v>0.62841880341880296</v>
      </c>
      <c r="DC9" s="49">
        <v>0.45128205128205101</v>
      </c>
      <c r="DD9" s="49">
        <v>0.30769230769230799</v>
      </c>
      <c r="DE9" s="49">
        <v>0.31617774236245</v>
      </c>
      <c r="DF9" s="49">
        <v>0.37813122078481798</v>
      </c>
      <c r="DG9" s="49">
        <v>0.77882068950023897</v>
      </c>
      <c r="DH9" s="49">
        <v>0.77430586422056202</v>
      </c>
      <c r="DI9" s="49">
        <v>0.76655518310536197</v>
      </c>
      <c r="DJ9" s="49">
        <v>0.71883933984249904</v>
      </c>
      <c r="DK9" s="49">
        <v>0.45128205128205101</v>
      </c>
      <c r="DL9" s="49">
        <v>0.30769230769230799</v>
      </c>
      <c r="DM9" s="49">
        <v>0.256410256410256</v>
      </c>
      <c r="DN9" s="49">
        <v>0.27435897435897399</v>
      </c>
      <c r="DO9" s="49">
        <v>0.65250305250305296</v>
      </c>
      <c r="DP9" s="49">
        <v>0.62472527472527495</v>
      </c>
      <c r="DQ9" s="49">
        <v>0.61318681318681301</v>
      </c>
      <c r="DR9" s="49">
        <v>0.60952380952381002</v>
      </c>
      <c r="DS9" s="49">
        <v>2.2000000000000002</v>
      </c>
      <c r="DT9" s="49">
        <v>3.0128205128205101</v>
      </c>
      <c r="DU9" s="49">
        <v>3</v>
      </c>
      <c r="DV9" s="49">
        <v>2.6666666666666701</v>
      </c>
      <c r="DW9" s="49">
        <v>1.65151515151515</v>
      </c>
      <c r="DX9" s="49">
        <v>1.9358974358974399</v>
      </c>
      <c r="DY9" s="49">
        <v>1.94871794871795</v>
      </c>
      <c r="DZ9" s="49">
        <v>2.12820512820513</v>
      </c>
      <c r="EA9" s="49">
        <v>51.855058858471402</v>
      </c>
      <c r="EB9" s="49">
        <v>11.150883151217799</v>
      </c>
      <c r="EC9" s="49">
        <v>5.3430586543235501</v>
      </c>
      <c r="ED9" s="49">
        <v>2.9791464959193301</v>
      </c>
      <c r="EE9" s="49">
        <v>235.67973763657201</v>
      </c>
      <c r="EF9" s="49">
        <v>36.583232317512902</v>
      </c>
      <c r="EG9" s="49">
        <v>9.2048639341567196</v>
      </c>
      <c r="EH9" s="49">
        <v>4.7699411209191602</v>
      </c>
      <c r="EI9" s="49">
        <v>2.9238426144791099</v>
      </c>
      <c r="EJ9" s="49">
        <v>174.87696862670299</v>
      </c>
      <c r="EK9" s="49">
        <v>0.22002340709677001</v>
      </c>
      <c r="EL9" s="49">
        <v>4.7313711662446398E-2</v>
      </c>
      <c r="EM9" s="49">
        <v>2.2670844375101799E-2</v>
      </c>
      <c r="EN9" s="49">
        <v>1.26406560266683E-2</v>
      </c>
      <c r="EO9" s="49">
        <v>0.20919411289433101</v>
      </c>
      <c r="EP9" s="49">
        <v>5.2636227665895097E-2</v>
      </c>
      <c r="EQ9" s="49">
        <v>2.7275982414249202E-2</v>
      </c>
      <c r="ER9" s="49">
        <v>1.6719426448433099E-2</v>
      </c>
    </row>
    <row r="10" spans="1:148" ht="28" customHeight="1">
      <c r="A10" s="9">
        <v>15</v>
      </c>
      <c r="B10" s="9">
        <f t="shared" si="0"/>
        <v>9</v>
      </c>
      <c r="C10">
        <v>9</v>
      </c>
      <c r="D10" s="20" t="s">
        <v>100</v>
      </c>
      <c r="E10" s="20">
        <v>67121322</v>
      </c>
      <c r="F10" s="37">
        <v>30.714285714285715</v>
      </c>
      <c r="G10" s="9">
        <v>2</v>
      </c>
      <c r="H10" s="23" t="s">
        <v>68</v>
      </c>
      <c r="I10" s="24">
        <f t="shared" si="1"/>
        <v>27</v>
      </c>
      <c r="J10" s="25" t="s">
        <v>538</v>
      </c>
      <c r="K10" s="9">
        <v>3</v>
      </c>
      <c r="L10" s="9">
        <v>2</v>
      </c>
      <c r="M10" s="23" t="s">
        <v>67</v>
      </c>
      <c r="N10" s="17">
        <v>8736</v>
      </c>
      <c r="O10" s="45">
        <v>96.428571428571431</v>
      </c>
      <c r="P10" s="17">
        <v>5</v>
      </c>
      <c r="Q10" s="17">
        <v>2</v>
      </c>
      <c r="R10" s="18">
        <v>45509</v>
      </c>
      <c r="S10" s="9">
        <v>2</v>
      </c>
      <c r="T10" s="9">
        <v>5</v>
      </c>
      <c r="U10" s="9">
        <v>31</v>
      </c>
      <c r="V10" s="9">
        <v>36</v>
      </c>
      <c r="W10" s="9">
        <v>4</v>
      </c>
      <c r="X10" s="9">
        <v>12</v>
      </c>
      <c r="Y10" s="9">
        <v>12</v>
      </c>
      <c r="Z10" s="9">
        <v>8</v>
      </c>
      <c r="AA10" s="9">
        <v>2</v>
      </c>
      <c r="AB10" s="9">
        <v>1</v>
      </c>
      <c r="AC10" s="9">
        <v>7</v>
      </c>
      <c r="AD10" s="9">
        <v>4</v>
      </c>
      <c r="AE10" s="9">
        <v>1</v>
      </c>
      <c r="AF10" s="9">
        <v>1</v>
      </c>
      <c r="AG10" s="9">
        <v>1</v>
      </c>
      <c r="AH10" s="9">
        <v>2</v>
      </c>
      <c r="AI10" s="9">
        <v>1</v>
      </c>
      <c r="AJ10" s="9">
        <v>1</v>
      </c>
      <c r="AK10" s="9">
        <v>1</v>
      </c>
      <c r="AL10" s="9">
        <v>22</v>
      </c>
      <c r="AM10" s="9">
        <v>1</v>
      </c>
      <c r="AN10" s="9">
        <v>1</v>
      </c>
      <c r="AO10" s="17" t="s">
        <v>326</v>
      </c>
      <c r="AP10" s="31" t="s">
        <v>361</v>
      </c>
      <c r="AQ10" s="17" t="s">
        <v>362</v>
      </c>
      <c r="AR10" s="9" t="s">
        <v>170</v>
      </c>
      <c r="AS10" s="9">
        <v>1</v>
      </c>
      <c r="AT10" s="9">
        <v>2</v>
      </c>
      <c r="AU10" s="9">
        <v>1</v>
      </c>
      <c r="AV10" s="9">
        <v>37</v>
      </c>
      <c r="AW10" s="9">
        <v>0</v>
      </c>
      <c r="AX10" s="37">
        <f t="shared" si="2"/>
        <v>37</v>
      </c>
      <c r="AY10" s="9">
        <v>1595</v>
      </c>
      <c r="AZ10" s="9">
        <v>3</v>
      </c>
      <c r="BA10" s="9">
        <v>4</v>
      </c>
      <c r="BB10" s="9">
        <v>43</v>
      </c>
      <c r="BC10" s="9">
        <v>5</v>
      </c>
      <c r="BD10" s="9">
        <v>28</v>
      </c>
      <c r="BE10" s="9">
        <v>4</v>
      </c>
      <c r="BF10" s="9">
        <v>2330</v>
      </c>
      <c r="BG10" s="9">
        <v>3</v>
      </c>
      <c r="BH10" s="9">
        <v>47</v>
      </c>
      <c r="BI10" s="9">
        <v>4</v>
      </c>
      <c r="BJ10" s="9">
        <v>32</v>
      </c>
      <c r="BK10" s="9">
        <v>3</v>
      </c>
      <c r="BL10" s="9">
        <v>1</v>
      </c>
      <c r="BN10" s="9">
        <v>2</v>
      </c>
      <c r="BO10" s="9">
        <v>1</v>
      </c>
      <c r="BP10" s="9">
        <v>1</v>
      </c>
      <c r="BR10" s="9">
        <v>1</v>
      </c>
      <c r="BS10" s="9">
        <v>1</v>
      </c>
      <c r="BT10" s="42">
        <v>45470</v>
      </c>
      <c r="BU10" s="18">
        <v>45514</v>
      </c>
      <c r="BV10" s="9">
        <v>1</v>
      </c>
      <c r="BW10" s="9">
        <v>1</v>
      </c>
      <c r="BX10" s="9">
        <v>0</v>
      </c>
      <c r="BY10" s="9">
        <v>2</v>
      </c>
      <c r="BZ10" s="9">
        <v>38</v>
      </c>
      <c r="CA10" s="9">
        <v>1</v>
      </c>
      <c r="CB10" s="18">
        <v>45470</v>
      </c>
      <c r="CC10" s="18">
        <v>45487</v>
      </c>
      <c r="CD10" s="9">
        <v>18</v>
      </c>
      <c r="CE10" s="49">
        <v>0.27566606956064998</v>
      </c>
      <c r="CF10" s="49">
        <v>0.24049388568865299</v>
      </c>
      <c r="CG10" s="49">
        <v>0.23948689308877799</v>
      </c>
      <c r="CH10" s="49">
        <v>0.26072591487232499</v>
      </c>
      <c r="CI10" s="49">
        <v>0.43727252940275502</v>
      </c>
      <c r="CJ10" s="49">
        <v>0.38415486525792703</v>
      </c>
      <c r="CK10" s="49">
        <v>0.39347116467917898</v>
      </c>
      <c r="CL10" s="49">
        <v>0.414512223702379</v>
      </c>
      <c r="CM10" s="49">
        <v>0.35210681287804302</v>
      </c>
      <c r="CN10" s="49">
        <v>0.34264778228202802</v>
      </c>
      <c r="CO10" s="49">
        <v>0.41122810677224098</v>
      </c>
      <c r="CP10" s="49">
        <v>0.307272115352756</v>
      </c>
      <c r="CQ10" s="49">
        <v>0.50275922919890204</v>
      </c>
      <c r="CR10" s="49">
        <v>0.48855953887593301</v>
      </c>
      <c r="CS10" s="49">
        <v>0.42793650264340599</v>
      </c>
      <c r="CT10" s="49">
        <v>0.37652138995392698</v>
      </c>
      <c r="CU10" s="49">
        <v>0.55939393939394</v>
      </c>
      <c r="CV10" s="49">
        <v>0.61259259259259302</v>
      </c>
      <c r="CW10" s="49">
        <v>0.62222222222222201</v>
      </c>
      <c r="CX10" s="49">
        <v>0.56000000000000005</v>
      </c>
      <c r="CY10" s="49">
        <v>0.67521367521367504</v>
      </c>
      <c r="CZ10" s="49">
        <v>0.71969696969696895</v>
      </c>
      <c r="DA10" s="49">
        <v>0.71969696969696895</v>
      </c>
      <c r="DB10" s="49">
        <v>0.67521367521367504</v>
      </c>
      <c r="DC10" s="49">
        <v>0.49038581626891498</v>
      </c>
      <c r="DD10" s="49">
        <v>0.49559103319739101</v>
      </c>
      <c r="DE10" s="49">
        <v>0.60936994865761795</v>
      </c>
      <c r="DF10" s="49">
        <v>0.44815261130626499</v>
      </c>
      <c r="DG10" s="49">
        <v>0.77183868272190903</v>
      </c>
      <c r="DH10" s="49">
        <v>0.77055739905816401</v>
      </c>
      <c r="DI10" s="49">
        <v>0.64167684461446595</v>
      </c>
      <c r="DJ10" s="49">
        <v>0.58952241825506602</v>
      </c>
      <c r="DK10" s="49">
        <v>0.34871794871794898</v>
      </c>
      <c r="DL10" s="49">
        <v>0.36410256410256397</v>
      </c>
      <c r="DM10" s="49">
        <v>0.43846153846153801</v>
      </c>
      <c r="DN10" s="49">
        <v>0.37692307692307703</v>
      </c>
      <c r="DO10" s="49">
        <v>0.65293040293040305</v>
      </c>
      <c r="DP10" s="49">
        <v>0.59706959706959695</v>
      </c>
      <c r="DQ10" s="49">
        <v>0.52710622710622701</v>
      </c>
      <c r="DR10" s="49">
        <v>0.50897435897435905</v>
      </c>
      <c r="DS10" s="49">
        <v>2.3818181818181801</v>
      </c>
      <c r="DT10" s="49">
        <v>2.1333333333333302</v>
      </c>
      <c r="DU10" s="49">
        <v>2.0222222222222199</v>
      </c>
      <c r="DV10" s="49">
        <v>2.3636363636363602</v>
      </c>
      <c r="DW10" s="49">
        <v>1.7435897435897401</v>
      </c>
      <c r="DX10" s="49">
        <v>1.62121212121212</v>
      </c>
      <c r="DY10" s="49">
        <v>1.62121212121212</v>
      </c>
      <c r="DZ10" s="49">
        <v>1.7435897435897401</v>
      </c>
      <c r="EA10" s="49">
        <v>26.013582320242602</v>
      </c>
      <c r="EB10" s="49">
        <v>9.41688735409247</v>
      </c>
      <c r="EC10" s="49">
        <v>4.5928433454142201</v>
      </c>
      <c r="ED10" s="49">
        <v>2.5622318770283798</v>
      </c>
      <c r="EE10" s="49">
        <v>153.20537284569599</v>
      </c>
      <c r="EF10" s="49">
        <v>49.260788870661898</v>
      </c>
      <c r="EG10" s="49">
        <v>13.151388446213501</v>
      </c>
      <c r="EH10" s="49">
        <v>5.3837630223015598</v>
      </c>
      <c r="EI10" s="49">
        <v>2.6325754554156502</v>
      </c>
      <c r="EJ10" s="49">
        <v>256.02564058384002</v>
      </c>
      <c r="EK10" s="49">
        <v>0.16979549631358401</v>
      </c>
      <c r="EL10" s="49">
        <v>6.1465777467066399E-2</v>
      </c>
      <c r="EM10" s="49">
        <v>2.9978343840721601E-2</v>
      </c>
      <c r="EN10" s="49">
        <v>1.6724164625799301E-2</v>
      </c>
      <c r="EO10" s="49">
        <v>0.192405685455284</v>
      </c>
      <c r="EP10" s="49">
        <v>5.1367466228082297E-2</v>
      </c>
      <c r="EQ10" s="49">
        <v>2.1028218150433899E-2</v>
      </c>
      <c r="ER10" s="49">
        <v>1.02824679958317E-2</v>
      </c>
    </row>
    <row r="11" spans="1:148" ht="28" customHeight="1">
      <c r="A11" s="9">
        <v>25</v>
      </c>
      <c r="B11" s="9">
        <f t="shared" si="0"/>
        <v>10</v>
      </c>
      <c r="C11">
        <v>10</v>
      </c>
      <c r="D11" s="20" t="s">
        <v>110</v>
      </c>
      <c r="E11" s="20">
        <v>67076460</v>
      </c>
      <c r="F11" s="37">
        <v>33.428571428571431</v>
      </c>
      <c r="G11" s="20">
        <v>3</v>
      </c>
      <c r="H11" s="23" t="s">
        <v>79</v>
      </c>
      <c r="I11" s="24">
        <f t="shared" si="1"/>
        <v>16</v>
      </c>
      <c r="J11" s="25" t="s">
        <v>539</v>
      </c>
      <c r="K11" s="9">
        <v>3</v>
      </c>
      <c r="L11" s="9">
        <v>2</v>
      </c>
      <c r="M11" s="23" t="s">
        <v>78</v>
      </c>
      <c r="N11" s="17">
        <v>5357</v>
      </c>
      <c r="O11" s="45">
        <v>100</v>
      </c>
      <c r="P11" s="17">
        <v>5</v>
      </c>
      <c r="Q11" s="17">
        <v>2</v>
      </c>
      <c r="R11" s="18">
        <v>45444</v>
      </c>
      <c r="S11" s="9">
        <v>2</v>
      </c>
      <c r="T11" s="9">
        <v>8</v>
      </c>
      <c r="U11" s="9">
        <v>3</v>
      </c>
      <c r="V11" s="9">
        <v>11</v>
      </c>
      <c r="W11" s="9">
        <v>3</v>
      </c>
      <c r="X11" s="9">
        <v>8</v>
      </c>
      <c r="Y11" s="9">
        <v>4</v>
      </c>
      <c r="Z11" s="9">
        <v>8</v>
      </c>
      <c r="AA11" s="9">
        <v>2</v>
      </c>
      <c r="AB11" s="9">
        <v>1</v>
      </c>
      <c r="AC11" s="9">
        <v>10</v>
      </c>
      <c r="AD11" s="9">
        <v>10</v>
      </c>
      <c r="AE11" s="9">
        <v>1</v>
      </c>
      <c r="AF11" s="9">
        <v>2</v>
      </c>
      <c r="AG11" s="9">
        <v>1</v>
      </c>
      <c r="AH11" s="9">
        <v>2</v>
      </c>
      <c r="AI11" s="9">
        <v>1</v>
      </c>
      <c r="AJ11" s="9">
        <v>1</v>
      </c>
      <c r="AK11" s="9">
        <v>2</v>
      </c>
      <c r="AL11" s="9">
        <v>29</v>
      </c>
      <c r="AM11" s="9">
        <v>2</v>
      </c>
      <c r="AN11" s="9">
        <v>1</v>
      </c>
      <c r="AO11" s="9" t="s">
        <v>333</v>
      </c>
      <c r="AP11" s="31" t="s">
        <v>371</v>
      </c>
      <c r="AQ11" s="17" t="s">
        <v>372</v>
      </c>
      <c r="AR11" s="9" t="s">
        <v>146</v>
      </c>
      <c r="AS11" s="9">
        <v>1</v>
      </c>
      <c r="AT11" s="9">
        <v>2</v>
      </c>
      <c r="AU11" s="9">
        <v>3</v>
      </c>
      <c r="AV11" s="9">
        <v>38</v>
      </c>
      <c r="AW11" s="9">
        <v>0</v>
      </c>
      <c r="AX11" s="37">
        <f t="shared" si="2"/>
        <v>38</v>
      </c>
      <c r="AY11" s="9">
        <v>1570</v>
      </c>
      <c r="AZ11" s="9">
        <v>3</v>
      </c>
      <c r="BA11" s="9">
        <v>3</v>
      </c>
      <c r="BB11" s="9">
        <v>39</v>
      </c>
      <c r="BC11" s="9">
        <v>3</v>
      </c>
      <c r="BD11" s="9">
        <v>29</v>
      </c>
      <c r="BE11" s="9">
        <v>2</v>
      </c>
      <c r="BF11" s="9">
        <v>2140</v>
      </c>
      <c r="BG11" s="9">
        <v>1</v>
      </c>
      <c r="BH11" s="9">
        <v>45</v>
      </c>
      <c r="BI11" s="9">
        <v>2</v>
      </c>
      <c r="BJ11" s="9">
        <v>30</v>
      </c>
      <c r="BK11" s="9">
        <v>1</v>
      </c>
      <c r="BL11" s="9">
        <v>1</v>
      </c>
      <c r="BN11" s="9">
        <v>1</v>
      </c>
      <c r="BP11" s="9">
        <v>1</v>
      </c>
      <c r="BR11" s="9">
        <v>2</v>
      </c>
      <c r="BS11" s="9">
        <v>1</v>
      </c>
      <c r="BT11" s="42">
        <v>45421</v>
      </c>
      <c r="BU11" s="33">
        <v>45452</v>
      </c>
      <c r="BV11" s="9">
        <v>2</v>
      </c>
      <c r="BW11" s="9">
        <v>2</v>
      </c>
      <c r="BX11" s="9">
        <v>3</v>
      </c>
      <c r="BY11" s="9">
        <v>2</v>
      </c>
      <c r="BZ11" s="9">
        <v>35</v>
      </c>
      <c r="CA11" s="9">
        <v>1</v>
      </c>
      <c r="CB11" s="18">
        <v>45421</v>
      </c>
      <c r="CC11" s="18">
        <v>45436</v>
      </c>
      <c r="CD11" s="9">
        <v>16</v>
      </c>
      <c r="CE11" s="49">
        <v>0.231332193852542</v>
      </c>
      <c r="CF11" s="49">
        <v>0.24041076332053399</v>
      </c>
      <c r="CG11" s="49">
        <v>0.21191672420016799</v>
      </c>
      <c r="CH11" s="49">
        <v>0.21146194554095599</v>
      </c>
      <c r="CI11" s="49">
        <v>0.42803414976398102</v>
      </c>
      <c r="CJ11" s="49">
        <v>0.44525160595503699</v>
      </c>
      <c r="CK11" s="49">
        <v>0.49440743951753802</v>
      </c>
      <c r="CL11" s="49">
        <v>0.45344882655712798</v>
      </c>
      <c r="CM11" s="49">
        <v>0.31932406979351802</v>
      </c>
      <c r="CN11" s="49">
        <v>0.33736929376596703</v>
      </c>
      <c r="CO11" s="49">
        <v>0.374403480907609</v>
      </c>
      <c r="CP11" s="49">
        <v>0.37348559278641902</v>
      </c>
      <c r="CQ11" s="49">
        <v>0.45111025650175601</v>
      </c>
      <c r="CR11" s="49">
        <v>0.54767829965047199</v>
      </c>
      <c r="CS11" s="49">
        <v>0.54671989420010103</v>
      </c>
      <c r="CT11" s="49">
        <v>0.64284974139769502</v>
      </c>
      <c r="CU11" s="49">
        <v>0.76436781609195403</v>
      </c>
      <c r="CV11" s="49">
        <v>0.76436781609195403</v>
      </c>
      <c r="CW11" s="49">
        <v>0.86363636363636398</v>
      </c>
      <c r="CX11" s="49">
        <v>0.86363636363636398</v>
      </c>
      <c r="CY11" s="49">
        <v>0.64893162393162396</v>
      </c>
      <c r="CZ11" s="49">
        <v>0.66773504273504303</v>
      </c>
      <c r="DA11" s="49">
        <v>0.67307692307692302</v>
      </c>
      <c r="DB11" s="49">
        <v>0.72979797979798</v>
      </c>
      <c r="DC11" s="49">
        <v>0.39031696083988399</v>
      </c>
      <c r="DD11" s="49">
        <v>0.39666463696345</v>
      </c>
      <c r="DE11" s="49">
        <v>0.43007873278416697</v>
      </c>
      <c r="DF11" s="49">
        <v>0.43007873278416697</v>
      </c>
      <c r="DG11" s="49">
        <v>0.68193768873420701</v>
      </c>
      <c r="DH11" s="49">
        <v>0.82386491655539695</v>
      </c>
      <c r="DI11" s="49">
        <v>0.75374972551432295</v>
      </c>
      <c r="DJ11" s="49">
        <v>0.87930925525313897</v>
      </c>
      <c r="DK11" s="49">
        <v>0.33333333333333298</v>
      </c>
      <c r="DL11" s="49">
        <v>0.36410256410256397</v>
      </c>
      <c r="DM11" s="49">
        <v>0.40769230769230802</v>
      </c>
      <c r="DN11" s="49">
        <v>0.40769230769230802</v>
      </c>
      <c r="DO11" s="49">
        <v>0.566239316239316</v>
      </c>
      <c r="DP11" s="49">
        <v>0.65341880341880298</v>
      </c>
      <c r="DQ11" s="49">
        <v>0.58620268620268601</v>
      </c>
      <c r="DR11" s="49">
        <v>0.72307692307692295</v>
      </c>
      <c r="DS11" s="49">
        <v>1.5172413793103401</v>
      </c>
      <c r="DT11" s="49">
        <v>1.5172413793103401</v>
      </c>
      <c r="DU11" s="49">
        <v>1.27272727272727</v>
      </c>
      <c r="DV11" s="49">
        <v>1.27272727272727</v>
      </c>
      <c r="DW11" s="49">
        <v>1.94871794871795</v>
      </c>
      <c r="DX11" s="49">
        <v>1.7948717948718</v>
      </c>
      <c r="DY11" s="49">
        <v>1.7564102564102599</v>
      </c>
      <c r="DZ11" s="49">
        <v>1.5606060606060601</v>
      </c>
      <c r="EA11" s="49">
        <v>41.340896836996599</v>
      </c>
      <c r="EB11" s="49">
        <v>13.926624097263</v>
      </c>
      <c r="EC11" s="49">
        <v>6.3746866099046899</v>
      </c>
      <c r="ED11" s="49">
        <v>3.7975997181533101</v>
      </c>
      <c r="EE11" s="49">
        <v>213.471434701047</v>
      </c>
      <c r="EF11" s="49">
        <v>56.0584323219596</v>
      </c>
      <c r="EG11" s="49">
        <v>21.206453858939501</v>
      </c>
      <c r="EH11" s="49">
        <v>10.077414752840101</v>
      </c>
      <c r="EI11" s="49">
        <v>5.5312416680489997</v>
      </c>
      <c r="EJ11" s="49">
        <v>279.749201525638</v>
      </c>
      <c r="EK11" s="49">
        <v>0.19366008803422299</v>
      </c>
      <c r="EL11" s="49">
        <v>6.52388180965119E-2</v>
      </c>
      <c r="EM11" s="49">
        <v>2.9862012305449801E-2</v>
      </c>
      <c r="EN11" s="49">
        <v>1.7789732492647599E-2</v>
      </c>
      <c r="EO11" s="49">
        <v>0.20038817632450701</v>
      </c>
      <c r="EP11" s="49">
        <v>7.58052346290468E-2</v>
      </c>
      <c r="EQ11" s="49">
        <v>3.60230331235337E-2</v>
      </c>
      <c r="ER11" s="49">
        <v>1.9772144613403202E-2</v>
      </c>
    </row>
    <row r="12" spans="1:148" ht="28" customHeight="1">
      <c r="A12" s="9">
        <v>57</v>
      </c>
      <c r="B12" s="9">
        <f t="shared" si="0"/>
        <v>11</v>
      </c>
      <c r="C12">
        <v>11</v>
      </c>
      <c r="D12" s="9" t="s">
        <v>191</v>
      </c>
      <c r="E12" s="9">
        <v>67211970</v>
      </c>
      <c r="F12" s="37">
        <v>31.714285714285715</v>
      </c>
      <c r="G12" s="9">
        <v>2</v>
      </c>
      <c r="H12" s="9" t="s">
        <v>27</v>
      </c>
      <c r="I12" s="9">
        <f t="shared" si="1"/>
        <v>29</v>
      </c>
      <c r="J12" s="9" t="s">
        <v>540</v>
      </c>
      <c r="K12" s="9">
        <v>3</v>
      </c>
      <c r="L12" s="9">
        <v>2</v>
      </c>
      <c r="M12" s="9" t="s">
        <v>39</v>
      </c>
      <c r="N12" s="17">
        <v>6552</v>
      </c>
      <c r="O12" s="45">
        <v>100</v>
      </c>
      <c r="P12" s="17">
        <v>5</v>
      </c>
      <c r="Q12" s="17">
        <v>1</v>
      </c>
      <c r="R12" s="18">
        <v>45595</v>
      </c>
      <c r="S12" s="9">
        <v>2</v>
      </c>
      <c r="T12" s="9">
        <v>8</v>
      </c>
      <c r="U12" s="9">
        <v>24</v>
      </c>
      <c r="V12" s="9">
        <v>32</v>
      </c>
      <c r="W12" s="9">
        <v>10</v>
      </c>
      <c r="X12" s="9">
        <v>22</v>
      </c>
      <c r="Y12" s="9">
        <v>6</v>
      </c>
      <c r="Z12" s="9">
        <v>8</v>
      </c>
      <c r="AA12" s="9">
        <v>2</v>
      </c>
      <c r="AB12" s="9">
        <v>1</v>
      </c>
      <c r="AC12" s="9">
        <v>3</v>
      </c>
      <c r="AD12" s="9">
        <v>8</v>
      </c>
      <c r="AE12" s="9">
        <v>1</v>
      </c>
      <c r="AF12" s="9">
        <v>2</v>
      </c>
      <c r="AG12" s="9">
        <v>1</v>
      </c>
      <c r="AH12" s="9">
        <v>2</v>
      </c>
      <c r="AI12" s="9">
        <v>1</v>
      </c>
      <c r="AJ12" s="9">
        <v>1</v>
      </c>
      <c r="AK12" s="9">
        <v>1</v>
      </c>
      <c r="AL12" s="9">
        <v>22</v>
      </c>
      <c r="AM12" s="9">
        <v>2</v>
      </c>
      <c r="AN12" s="9">
        <v>1</v>
      </c>
      <c r="AO12" s="17" t="s">
        <v>410</v>
      </c>
      <c r="AP12" s="31" t="s">
        <v>411</v>
      </c>
      <c r="AQ12" s="9" t="s">
        <v>198</v>
      </c>
      <c r="AR12" s="9" t="s">
        <v>197</v>
      </c>
      <c r="AS12" s="9">
        <v>1</v>
      </c>
      <c r="AT12" s="9">
        <v>2</v>
      </c>
      <c r="AU12" s="9">
        <v>1</v>
      </c>
      <c r="AV12" s="9">
        <v>37</v>
      </c>
      <c r="AW12" s="9">
        <v>3</v>
      </c>
      <c r="AX12" s="37">
        <f t="shared" si="2"/>
        <v>37.428571428571431</v>
      </c>
      <c r="AY12" s="9">
        <v>1405</v>
      </c>
      <c r="AZ12" s="9">
        <v>2</v>
      </c>
      <c r="BA12" s="9">
        <v>3</v>
      </c>
      <c r="BB12" s="9">
        <v>39</v>
      </c>
      <c r="BC12" s="9">
        <v>3</v>
      </c>
      <c r="BD12" s="9">
        <v>28</v>
      </c>
      <c r="BE12" s="9">
        <v>3</v>
      </c>
      <c r="BF12" s="9">
        <v>2180</v>
      </c>
      <c r="BG12" s="9">
        <v>2</v>
      </c>
      <c r="BH12" s="9">
        <v>44</v>
      </c>
      <c r="BI12" s="9">
        <v>2</v>
      </c>
      <c r="BJ12" s="9">
        <v>32</v>
      </c>
      <c r="BK12" s="9">
        <v>3</v>
      </c>
      <c r="BL12" s="9">
        <v>1</v>
      </c>
      <c r="BN12" s="9">
        <v>2</v>
      </c>
      <c r="BO12" s="9">
        <v>2</v>
      </c>
      <c r="BP12" s="9">
        <v>1</v>
      </c>
      <c r="BR12" s="9">
        <v>1</v>
      </c>
      <c r="BS12" s="9">
        <v>1</v>
      </c>
      <c r="BT12" s="42">
        <v>45560</v>
      </c>
      <c r="BU12" s="32">
        <v>45600</v>
      </c>
      <c r="BV12" s="9">
        <v>1</v>
      </c>
      <c r="BW12" s="9">
        <v>1</v>
      </c>
      <c r="BX12" s="9">
        <v>0</v>
      </c>
      <c r="BY12" s="9">
        <v>1</v>
      </c>
      <c r="BZ12" s="9">
        <v>0</v>
      </c>
      <c r="CA12" s="9">
        <v>1</v>
      </c>
      <c r="CB12" s="18">
        <v>45560</v>
      </c>
      <c r="CC12" s="18">
        <v>45579</v>
      </c>
      <c r="CD12" s="9">
        <v>20</v>
      </c>
      <c r="CE12" s="49">
        <v>0.24945565547959</v>
      </c>
      <c r="CF12" s="49">
        <v>0.20269711806091301</v>
      </c>
      <c r="CG12" s="49">
        <v>0.172020312957783</v>
      </c>
      <c r="CH12" s="49">
        <v>0.200540061976406</v>
      </c>
      <c r="CI12" s="49">
        <v>0.36315822552369498</v>
      </c>
      <c r="CJ12" s="49">
        <v>0.38880233851527901</v>
      </c>
      <c r="CK12" s="49">
        <v>0.36715161643838801</v>
      </c>
      <c r="CL12" s="49">
        <v>0.35037394919849602</v>
      </c>
      <c r="CM12" s="49">
        <v>0.36267006041474198</v>
      </c>
      <c r="CN12" s="49">
        <v>0.37463504240905798</v>
      </c>
      <c r="CO12" s="49">
        <v>0.38646403598977402</v>
      </c>
      <c r="CP12" s="49">
        <v>0.356646657989654</v>
      </c>
      <c r="CQ12" s="49">
        <v>0.54283619919680703</v>
      </c>
      <c r="CR12" s="49">
        <v>0.496839096963757</v>
      </c>
      <c r="CS12" s="49">
        <v>0.53557056039460305</v>
      </c>
      <c r="CT12" s="49">
        <v>0.51770795280932103</v>
      </c>
      <c r="CU12" s="49">
        <v>0.77380952380952395</v>
      </c>
      <c r="CV12" s="49">
        <v>0.88095238095238104</v>
      </c>
      <c r="CW12" s="49">
        <v>1</v>
      </c>
      <c r="CX12" s="49">
        <v>0.85606060606060597</v>
      </c>
      <c r="CY12" s="49">
        <v>0.83333333333333304</v>
      </c>
      <c r="CZ12" s="49">
        <v>0.65598290598290598</v>
      </c>
      <c r="DA12" s="49">
        <v>0.70202020202020199</v>
      </c>
      <c r="DB12" s="49">
        <v>0.69696969696969702</v>
      </c>
      <c r="DC12" s="49">
        <v>0.39930950201493598</v>
      </c>
      <c r="DD12" s="49">
        <v>0.43589743589743601</v>
      </c>
      <c r="DE12" s="49">
        <v>0.46153846153846201</v>
      </c>
      <c r="DF12" s="49">
        <v>0.424421554645665</v>
      </c>
      <c r="DG12" s="49">
        <v>0.74356867889957101</v>
      </c>
      <c r="DH12" s="49">
        <v>0.81323722415678301</v>
      </c>
      <c r="DI12" s="49">
        <v>0.84905408475045796</v>
      </c>
      <c r="DJ12" s="49">
        <v>0.84904893734134701</v>
      </c>
      <c r="DK12" s="49">
        <v>0.37692307692307703</v>
      </c>
      <c r="DL12" s="49">
        <v>0.43589743589743601</v>
      </c>
      <c r="DM12" s="49">
        <v>0.46153846153846201</v>
      </c>
      <c r="DN12" s="49">
        <v>0.4</v>
      </c>
      <c r="DO12" s="49">
        <v>0.65018315018314998</v>
      </c>
      <c r="DP12" s="49">
        <v>0.68681318681318704</v>
      </c>
      <c r="DQ12" s="49">
        <v>0.74450549450549397</v>
      </c>
      <c r="DR12" s="49">
        <v>0.74358974358974395</v>
      </c>
      <c r="DS12" s="49">
        <v>1.5</v>
      </c>
      <c r="DT12" s="49">
        <v>1.2380952380952399</v>
      </c>
      <c r="DU12" s="49">
        <v>1</v>
      </c>
      <c r="DV12" s="49">
        <v>1.3181818181818199</v>
      </c>
      <c r="DW12" s="49">
        <v>1.34782608695652</v>
      </c>
      <c r="DX12" s="49">
        <v>1.8589743589743599</v>
      </c>
      <c r="DY12" s="49">
        <v>1.72727272727273</v>
      </c>
      <c r="DZ12" s="49">
        <v>1.77272727272727</v>
      </c>
      <c r="EA12" s="49">
        <v>43.954867838703599</v>
      </c>
      <c r="EB12" s="49">
        <v>19.744594018259399</v>
      </c>
      <c r="EC12" s="49">
        <v>6.6116061819072804</v>
      </c>
      <c r="ED12" s="49">
        <v>3.0968817885643301</v>
      </c>
      <c r="EE12" s="49">
        <v>179.45043105609099</v>
      </c>
      <c r="EF12" s="49">
        <v>49.564968097848698</v>
      </c>
      <c r="EG12" s="49">
        <v>13.037397664403001</v>
      </c>
      <c r="EH12" s="49">
        <v>7.0635334566942696</v>
      </c>
      <c r="EI12" s="49">
        <v>4.4327127240282502</v>
      </c>
      <c r="EJ12" s="49">
        <v>313.03434748608299</v>
      </c>
      <c r="EK12" s="49">
        <v>0.244941556172493</v>
      </c>
      <c r="EL12" s="49">
        <v>0.110028122540914</v>
      </c>
      <c r="EM12" s="49">
        <v>3.6843634997124501E-2</v>
      </c>
      <c r="EN12" s="49">
        <v>1.72575890196459E-2</v>
      </c>
      <c r="EO12" s="49">
        <v>0.15833715531824299</v>
      </c>
      <c r="EP12" s="49">
        <v>4.1648457330972603E-2</v>
      </c>
      <c r="EQ12" s="49">
        <v>2.25647233711576E-2</v>
      </c>
      <c r="ER12" s="49">
        <v>1.41604675641076E-2</v>
      </c>
    </row>
    <row r="13" spans="1:148" ht="28" customHeight="1">
      <c r="A13" s="9">
        <v>12</v>
      </c>
      <c r="B13" s="9">
        <f t="shared" si="0"/>
        <v>12</v>
      </c>
      <c r="C13">
        <v>12</v>
      </c>
      <c r="D13" s="9" t="s">
        <v>0</v>
      </c>
      <c r="E13" s="9">
        <v>67162990</v>
      </c>
      <c r="F13" s="37">
        <v>32.857142857142854</v>
      </c>
      <c r="G13" s="20">
        <v>3</v>
      </c>
      <c r="H13" s="9" t="s">
        <v>19</v>
      </c>
      <c r="I13" s="9">
        <f t="shared" si="1"/>
        <v>27</v>
      </c>
      <c r="J13" s="9" t="s">
        <v>541</v>
      </c>
      <c r="K13" s="9">
        <v>3</v>
      </c>
      <c r="L13" s="9">
        <v>2</v>
      </c>
      <c r="M13" s="9" t="s">
        <v>33</v>
      </c>
      <c r="N13" s="17">
        <v>5872</v>
      </c>
      <c r="O13" s="45">
        <v>96.457765667574932</v>
      </c>
      <c r="P13" s="17">
        <v>5</v>
      </c>
      <c r="Q13" s="17">
        <v>2</v>
      </c>
      <c r="R13" s="18">
        <v>45519</v>
      </c>
      <c r="S13" s="9">
        <v>2</v>
      </c>
      <c r="T13" s="9">
        <v>0</v>
      </c>
      <c r="U13" s="9">
        <v>9</v>
      </c>
      <c r="V13" s="9">
        <v>9</v>
      </c>
      <c r="W13" s="9">
        <v>1</v>
      </c>
      <c r="X13" s="9">
        <v>0</v>
      </c>
      <c r="Y13" s="9">
        <v>5</v>
      </c>
      <c r="Z13" s="9">
        <v>5</v>
      </c>
      <c r="AA13" s="9">
        <v>2</v>
      </c>
      <c r="AB13" s="9">
        <v>1</v>
      </c>
      <c r="AC13" s="9">
        <v>10</v>
      </c>
      <c r="AD13" s="9">
        <v>10</v>
      </c>
      <c r="AE13" s="9">
        <v>1</v>
      </c>
      <c r="AF13" s="9">
        <v>2</v>
      </c>
      <c r="AG13" s="9">
        <v>1</v>
      </c>
      <c r="AH13" s="9">
        <v>2</v>
      </c>
      <c r="AI13" s="9">
        <v>2</v>
      </c>
      <c r="AJ13" s="9">
        <v>1</v>
      </c>
      <c r="AK13" s="9">
        <v>1</v>
      </c>
      <c r="AL13" s="9">
        <v>30</v>
      </c>
      <c r="AM13" s="9">
        <v>2</v>
      </c>
      <c r="AN13" s="9">
        <v>1</v>
      </c>
      <c r="AO13" s="9" t="s">
        <v>323</v>
      </c>
      <c r="AP13" s="31" t="s">
        <v>357</v>
      </c>
      <c r="AQ13" s="17" t="s">
        <v>358</v>
      </c>
      <c r="AR13" s="9" t="s">
        <v>178</v>
      </c>
      <c r="AS13" s="9">
        <v>1</v>
      </c>
      <c r="AT13" s="9">
        <v>2</v>
      </c>
      <c r="AU13" s="9">
        <v>1</v>
      </c>
      <c r="AV13" s="9">
        <v>36</v>
      </c>
      <c r="AW13" s="9">
        <v>6</v>
      </c>
      <c r="AX13" s="37">
        <f t="shared" si="2"/>
        <v>36.857142857142854</v>
      </c>
      <c r="AY13" s="9">
        <v>1560</v>
      </c>
      <c r="AZ13" s="9">
        <v>3</v>
      </c>
      <c r="BA13" s="9">
        <v>3</v>
      </c>
      <c r="BB13" s="9">
        <v>41</v>
      </c>
      <c r="BC13" s="9">
        <v>3</v>
      </c>
      <c r="BD13" s="9">
        <v>30</v>
      </c>
      <c r="BE13" s="9">
        <v>3</v>
      </c>
      <c r="BF13" s="9">
        <v>2090</v>
      </c>
      <c r="BG13" s="9">
        <v>2</v>
      </c>
      <c r="BH13" s="9">
        <v>47</v>
      </c>
      <c r="BI13" s="9">
        <v>3</v>
      </c>
      <c r="BJ13" s="9">
        <v>32</v>
      </c>
      <c r="BK13" s="9">
        <v>3</v>
      </c>
      <c r="BL13" s="9">
        <v>1</v>
      </c>
      <c r="BN13" s="9">
        <v>1</v>
      </c>
      <c r="BP13" s="9">
        <v>1</v>
      </c>
      <c r="BR13" s="9">
        <v>1</v>
      </c>
      <c r="BS13" s="9">
        <v>1</v>
      </c>
      <c r="BT13" s="42">
        <v>45506</v>
      </c>
      <c r="BU13" s="18">
        <v>45535</v>
      </c>
      <c r="BV13" s="9">
        <v>1</v>
      </c>
      <c r="BW13" s="9">
        <v>1</v>
      </c>
      <c r="BX13" s="9">
        <v>0</v>
      </c>
      <c r="BY13" s="9">
        <v>1</v>
      </c>
      <c r="BZ13" s="9">
        <v>0</v>
      </c>
      <c r="CA13" s="9">
        <v>1</v>
      </c>
      <c r="CB13" s="18">
        <v>45506</v>
      </c>
      <c r="CC13" s="18">
        <v>45515</v>
      </c>
      <c r="CD13" s="9">
        <v>10</v>
      </c>
      <c r="CE13" s="49">
        <v>0.29157319182811497</v>
      </c>
      <c r="CF13" s="49">
        <v>0.27937725027249499</v>
      </c>
      <c r="CG13" s="49">
        <v>0.25035695171622901</v>
      </c>
      <c r="CH13" s="49">
        <v>0.24118618502493699</v>
      </c>
      <c r="CI13" s="49">
        <v>0.43264570407289199</v>
      </c>
      <c r="CJ13" s="49">
        <v>0.38247324849030501</v>
      </c>
      <c r="CK13" s="49">
        <v>0.35723131260234497</v>
      </c>
      <c r="CL13" s="49">
        <v>0.34155720250817501</v>
      </c>
      <c r="CM13" s="49">
        <v>0.46140844745811999</v>
      </c>
      <c r="CN13" s="49">
        <v>0.40502806323203999</v>
      </c>
      <c r="CO13" s="49">
        <v>0.40515662496669103</v>
      </c>
      <c r="CP13" s="49">
        <v>0.39055454964676301</v>
      </c>
      <c r="CQ13" s="49">
        <v>0.56461493321198697</v>
      </c>
      <c r="CR13" s="49">
        <v>0.57396724087978002</v>
      </c>
      <c r="CS13" s="49">
        <v>0.53323499059948898</v>
      </c>
      <c r="CT13" s="49">
        <v>0.50935651627121403</v>
      </c>
      <c r="CU13" s="49">
        <v>0.55121212121212204</v>
      </c>
      <c r="CV13" s="49">
        <v>0.54090909090909101</v>
      </c>
      <c r="CW13" s="49">
        <v>0.62037037037037102</v>
      </c>
      <c r="CX13" s="49">
        <v>0.62037037037037102</v>
      </c>
      <c r="CY13" s="49">
        <v>0.71464646464646397</v>
      </c>
      <c r="CZ13" s="49">
        <v>0.78181818181818197</v>
      </c>
      <c r="DA13" s="49">
        <v>0.78181818181818197</v>
      </c>
      <c r="DB13" s="49">
        <v>0.78181818181818197</v>
      </c>
      <c r="DC13" s="49">
        <v>0.62971061967341502</v>
      </c>
      <c r="DD13" s="49">
        <v>0.55865130902482596</v>
      </c>
      <c r="DE13" s="49">
        <v>0.58075792240368196</v>
      </c>
      <c r="DF13" s="49">
        <v>0.58075792240368196</v>
      </c>
      <c r="DG13" s="49">
        <v>0.77645332162940806</v>
      </c>
      <c r="DH13" s="49">
        <v>0.82264882713672305</v>
      </c>
      <c r="DI13" s="49">
        <v>0.81651642708482197</v>
      </c>
      <c r="DJ13" s="49">
        <v>0.81875943302929299</v>
      </c>
      <c r="DK13" s="49">
        <v>0.5</v>
      </c>
      <c r="DL13" s="49">
        <v>0.517948717948718</v>
      </c>
      <c r="DM13" s="49">
        <v>0.484615384615385</v>
      </c>
      <c r="DN13" s="49">
        <v>0.484615384615385</v>
      </c>
      <c r="DO13" s="49">
        <v>0.75726495726495702</v>
      </c>
      <c r="DP13" s="49">
        <v>0.74468864468864504</v>
      </c>
      <c r="DQ13" s="49">
        <v>0.71080586080586095</v>
      </c>
      <c r="DR13" s="49">
        <v>0.71752136752136797</v>
      </c>
      <c r="DS13" s="49">
        <v>2.4</v>
      </c>
      <c r="DT13" s="49">
        <v>2.5636363636363599</v>
      </c>
      <c r="DU13" s="49">
        <v>2.0222222222222199</v>
      </c>
      <c r="DV13" s="49">
        <v>2.0222222222222199</v>
      </c>
      <c r="DW13" s="49">
        <v>1.65151515151515</v>
      </c>
      <c r="DX13" s="49">
        <v>1.4363636363636401</v>
      </c>
      <c r="DY13" s="49">
        <v>1.4363636363636401</v>
      </c>
      <c r="DZ13" s="49">
        <v>1.4363636363636401</v>
      </c>
      <c r="EA13" s="49">
        <v>39.870405477021897</v>
      </c>
      <c r="EB13" s="49">
        <v>13.4375343359361</v>
      </c>
      <c r="EC13" s="49">
        <v>6.3186754470246704</v>
      </c>
      <c r="ED13" s="49">
        <v>2.67531015900604</v>
      </c>
      <c r="EE13" s="49">
        <v>180.62322491808999</v>
      </c>
      <c r="EF13" s="49">
        <v>61.808523645042001</v>
      </c>
      <c r="EG13" s="49">
        <v>17.152668773116901</v>
      </c>
      <c r="EH13" s="49">
        <v>7.6272733555668903</v>
      </c>
      <c r="EI13" s="49">
        <v>3.7763779567320799</v>
      </c>
      <c r="EJ13" s="49">
        <v>273.61189576337398</v>
      </c>
      <c r="EK13" s="49">
        <v>0.22073797815924501</v>
      </c>
      <c r="EL13" s="49">
        <v>7.4395384879379703E-2</v>
      </c>
      <c r="EM13" s="49">
        <v>3.49826300017071E-2</v>
      </c>
      <c r="EN13" s="49">
        <v>1.48115512842784E-2</v>
      </c>
      <c r="EO13" s="49">
        <v>0.22589852488904699</v>
      </c>
      <c r="EP13" s="49">
        <v>6.2689777157755297E-2</v>
      </c>
      <c r="EQ13" s="49">
        <v>2.7876249072749101E-2</v>
      </c>
      <c r="ER13" s="49">
        <v>1.38019509210154E-2</v>
      </c>
    </row>
    <row r="14" spans="1:148" ht="28" customHeight="1">
      <c r="A14" s="17">
        <v>66</v>
      </c>
      <c r="B14" s="9">
        <f t="shared" si="0"/>
        <v>13</v>
      </c>
      <c r="C14">
        <v>13</v>
      </c>
      <c r="D14" s="9" t="s">
        <v>207</v>
      </c>
      <c r="E14" s="9" t="s">
        <v>225</v>
      </c>
      <c r="F14" s="37">
        <v>32</v>
      </c>
      <c r="G14" s="9">
        <v>2</v>
      </c>
      <c r="H14" s="18">
        <v>45345</v>
      </c>
      <c r="I14" s="20">
        <f t="shared" si="1"/>
        <v>23</v>
      </c>
      <c r="J14" s="28" t="s">
        <v>526</v>
      </c>
      <c r="K14" s="9">
        <v>3</v>
      </c>
      <c r="L14" s="9">
        <v>2</v>
      </c>
      <c r="M14" s="18">
        <v>45322</v>
      </c>
      <c r="N14" s="17">
        <v>3344</v>
      </c>
      <c r="O14" s="45">
        <v>97.607655502392348</v>
      </c>
      <c r="P14" s="17">
        <v>5</v>
      </c>
      <c r="Q14" s="17">
        <v>1</v>
      </c>
      <c r="R14" s="18">
        <v>45339</v>
      </c>
      <c r="S14" s="9">
        <v>2</v>
      </c>
      <c r="T14" s="9">
        <v>0</v>
      </c>
      <c r="U14" s="9">
        <v>8</v>
      </c>
      <c r="V14" s="9">
        <v>8</v>
      </c>
      <c r="W14" s="9">
        <v>11</v>
      </c>
      <c r="X14" s="9">
        <v>16</v>
      </c>
      <c r="Y14" s="9">
        <v>2</v>
      </c>
      <c r="Z14" s="9">
        <v>7</v>
      </c>
      <c r="AA14" s="9">
        <v>1</v>
      </c>
      <c r="AB14" s="9">
        <v>1</v>
      </c>
      <c r="AC14" s="9">
        <v>10</v>
      </c>
      <c r="AD14" s="9">
        <v>10</v>
      </c>
      <c r="AE14" s="9">
        <v>2</v>
      </c>
      <c r="AF14" s="9">
        <v>2</v>
      </c>
      <c r="AG14" s="9">
        <v>1</v>
      </c>
      <c r="AH14" s="9">
        <v>2</v>
      </c>
      <c r="AI14" s="9">
        <v>1</v>
      </c>
      <c r="AJ14" s="9">
        <v>1</v>
      </c>
      <c r="AK14" s="9">
        <v>1</v>
      </c>
      <c r="AL14" s="9">
        <v>37</v>
      </c>
      <c r="AM14" s="9">
        <v>2</v>
      </c>
      <c r="AN14" s="9">
        <v>1</v>
      </c>
      <c r="AO14" s="9">
        <v>1</v>
      </c>
      <c r="AP14" s="9" t="s">
        <v>439</v>
      </c>
      <c r="AQ14" s="9" t="s">
        <v>440</v>
      </c>
      <c r="AR14" s="9" t="s">
        <v>441</v>
      </c>
      <c r="AS14" s="9">
        <v>1</v>
      </c>
      <c r="AT14" s="9">
        <v>2</v>
      </c>
      <c r="AU14" s="9">
        <v>1</v>
      </c>
      <c r="AV14" s="9">
        <v>36</v>
      </c>
      <c r="AW14" s="9">
        <v>0</v>
      </c>
      <c r="AX14" s="37">
        <f t="shared" si="2"/>
        <v>36</v>
      </c>
      <c r="AY14" s="9">
        <v>1850</v>
      </c>
      <c r="AZ14" s="9">
        <v>3</v>
      </c>
      <c r="BA14" s="9">
        <v>3</v>
      </c>
      <c r="BB14" s="9">
        <v>42</v>
      </c>
      <c r="BC14" s="9">
        <v>3</v>
      </c>
      <c r="BD14" s="9">
        <v>30</v>
      </c>
      <c r="BE14" s="9">
        <v>3</v>
      </c>
      <c r="BF14" s="9">
        <v>2400</v>
      </c>
      <c r="BG14" s="9">
        <v>3</v>
      </c>
      <c r="BH14" s="9">
        <v>45</v>
      </c>
      <c r="BI14" s="9">
        <v>3</v>
      </c>
      <c r="BJ14" s="9">
        <v>33</v>
      </c>
      <c r="BK14" s="9">
        <v>4</v>
      </c>
      <c r="BL14" s="9">
        <v>1</v>
      </c>
      <c r="BN14" s="9">
        <v>1</v>
      </c>
      <c r="BP14" s="9">
        <v>1</v>
      </c>
      <c r="BR14" s="9">
        <v>1</v>
      </c>
      <c r="BS14" s="9">
        <v>1</v>
      </c>
      <c r="BT14" s="18">
        <v>45322</v>
      </c>
      <c r="BU14" s="18">
        <v>45350</v>
      </c>
      <c r="BV14" s="9">
        <v>1</v>
      </c>
      <c r="BW14" s="9">
        <v>1</v>
      </c>
      <c r="BX14" s="9">
        <v>0</v>
      </c>
      <c r="BY14" s="9">
        <v>1</v>
      </c>
      <c r="BZ14" s="9">
        <v>0</v>
      </c>
      <c r="CA14" s="9">
        <v>1</v>
      </c>
      <c r="CB14" s="18">
        <v>45322</v>
      </c>
      <c r="CC14" s="18">
        <v>45335</v>
      </c>
      <c r="CD14" s="9">
        <v>14</v>
      </c>
      <c r="CE14" s="49">
        <v>0.17748964841993201</v>
      </c>
      <c r="CF14" s="49">
        <v>0.16891148264771599</v>
      </c>
      <c r="CG14" s="49">
        <v>0.167218208883469</v>
      </c>
      <c r="CH14" s="49">
        <v>0.15904417387764999</v>
      </c>
      <c r="CI14" s="49">
        <v>0.39308038204861101</v>
      </c>
      <c r="CJ14" s="49">
        <v>0.35791785740686799</v>
      </c>
      <c r="CK14" s="49">
        <v>0.34122048338359301</v>
      </c>
      <c r="CL14" s="49">
        <v>0.325851810350752</v>
      </c>
      <c r="CM14" s="49">
        <v>0.42124121748098903</v>
      </c>
      <c r="CN14" s="49">
        <v>0.447435131638309</v>
      </c>
      <c r="CO14" s="49">
        <v>0.47250267760131498</v>
      </c>
      <c r="CP14" s="49">
        <v>0.42076079947829598</v>
      </c>
      <c r="CQ14" s="49">
        <v>0.49589051814912</v>
      </c>
      <c r="CR14" s="49">
        <v>0.54615293298336498</v>
      </c>
      <c r="CS14" s="49">
        <v>0.52263438783497096</v>
      </c>
      <c r="CT14" s="49">
        <v>0.45274313745995798</v>
      </c>
      <c r="CU14" s="49">
        <v>0.81333333333333302</v>
      </c>
      <c r="CV14" s="49">
        <v>0.8</v>
      </c>
      <c r="CW14" s="49">
        <v>0.82</v>
      </c>
      <c r="CX14" s="49">
        <v>0.8</v>
      </c>
      <c r="CY14" s="49">
        <v>0.70959595959596</v>
      </c>
      <c r="CZ14" s="49">
        <v>0.69949494949494995</v>
      </c>
      <c r="DA14" s="49">
        <v>0.70454545454545503</v>
      </c>
      <c r="DB14" s="49">
        <v>0.72222222222222199</v>
      </c>
      <c r="DC14" s="49">
        <v>0.60480515517867195</v>
      </c>
      <c r="DD14" s="49">
        <v>0.64326669364021005</v>
      </c>
      <c r="DE14" s="49">
        <v>0.71019751427441502</v>
      </c>
      <c r="DF14" s="49">
        <v>0.64326669364021005</v>
      </c>
      <c r="DG14" s="49">
        <v>0.75325235535005097</v>
      </c>
      <c r="DH14" s="49">
        <v>0.87186948926031205</v>
      </c>
      <c r="DI14" s="49">
        <v>0.87564374997800398</v>
      </c>
      <c r="DJ14" s="49">
        <v>0.80568205507637103</v>
      </c>
      <c r="DK14" s="49">
        <v>0.56410256410256399</v>
      </c>
      <c r="DL14" s="49">
        <v>0.60256410256410298</v>
      </c>
      <c r="DM14" s="49">
        <v>0.60769230769230798</v>
      </c>
      <c r="DN14" s="49">
        <v>0.60256410256410298</v>
      </c>
      <c r="DO14" s="49">
        <v>0.55146520146520195</v>
      </c>
      <c r="DP14" s="49">
        <v>0.69267399267399299</v>
      </c>
      <c r="DQ14" s="49">
        <v>0.71025641025640995</v>
      </c>
      <c r="DR14" s="49">
        <v>0.73547008547008497</v>
      </c>
      <c r="DS14" s="49">
        <v>1.4</v>
      </c>
      <c r="DT14" s="49">
        <v>1.48</v>
      </c>
      <c r="DU14" s="49">
        <v>1.36</v>
      </c>
      <c r="DV14" s="49">
        <v>1.48</v>
      </c>
      <c r="DW14" s="49">
        <v>1.6969696969696999</v>
      </c>
      <c r="DX14" s="49">
        <v>1.75757575757576</v>
      </c>
      <c r="DY14" s="49">
        <v>1.7121212121212099</v>
      </c>
      <c r="DZ14" s="49">
        <v>1.60606060606061</v>
      </c>
      <c r="EA14" s="49">
        <v>30.4423196379893</v>
      </c>
      <c r="EB14" s="49">
        <v>12.829437708035099</v>
      </c>
      <c r="EC14" s="49">
        <v>5.2543413969353399</v>
      </c>
      <c r="ED14" s="49">
        <v>2.5251441272820601</v>
      </c>
      <c r="EE14" s="49">
        <v>153.76749904963401</v>
      </c>
      <c r="EF14" s="49">
        <v>45.603358428517303</v>
      </c>
      <c r="EG14" s="49">
        <v>14.287128724168101</v>
      </c>
      <c r="EH14" s="49">
        <v>5.4068623990258704</v>
      </c>
      <c r="EI14" s="49">
        <v>2.97243994156331</v>
      </c>
      <c r="EJ14" s="49">
        <v>232.14583995188801</v>
      </c>
      <c r="EK14" s="49">
        <v>0.197976294250341</v>
      </c>
      <c r="EL14" s="49">
        <v>8.3434001250771203E-2</v>
      </c>
      <c r="EM14" s="49">
        <v>3.4170689055944899E-2</v>
      </c>
      <c r="EN14" s="49">
        <v>1.64218325906893E-2</v>
      </c>
      <c r="EO14" s="49">
        <v>0.196442712210431</v>
      </c>
      <c r="EP14" s="49">
        <v>6.15437637268412E-2</v>
      </c>
      <c r="EQ14" s="49">
        <v>2.32908003009938E-2</v>
      </c>
      <c r="ER14" s="49">
        <v>1.2804192149983599E-2</v>
      </c>
    </row>
    <row r="15" spans="1:148" ht="28" customHeight="1">
      <c r="A15" s="9">
        <v>10</v>
      </c>
      <c r="B15" s="9">
        <f t="shared" si="0"/>
        <v>14</v>
      </c>
      <c r="C15">
        <v>14</v>
      </c>
      <c r="D15" s="9" t="s">
        <v>97</v>
      </c>
      <c r="E15" s="9">
        <v>67146963</v>
      </c>
      <c r="F15" s="37">
        <v>29.428571428571427</v>
      </c>
      <c r="G15" s="9">
        <v>2</v>
      </c>
      <c r="H15" s="20" t="s">
        <v>43</v>
      </c>
      <c r="I15" s="20">
        <f t="shared" si="1"/>
        <v>46</v>
      </c>
      <c r="J15" s="21" t="s">
        <v>504</v>
      </c>
      <c r="K15" s="9">
        <v>3</v>
      </c>
      <c r="L15" s="9">
        <v>2</v>
      </c>
      <c r="M15" s="22">
        <v>45492</v>
      </c>
      <c r="N15" s="17">
        <v>11680</v>
      </c>
      <c r="O15" s="45">
        <v>91.164383561643831</v>
      </c>
      <c r="P15" s="17">
        <v>5</v>
      </c>
      <c r="Q15" s="17">
        <v>2</v>
      </c>
      <c r="R15" s="18">
        <v>45533</v>
      </c>
      <c r="S15" s="9">
        <v>2</v>
      </c>
      <c r="T15" s="9">
        <v>0</v>
      </c>
      <c r="U15" s="9">
        <v>38</v>
      </c>
      <c r="V15" s="9">
        <v>38</v>
      </c>
      <c r="W15" s="9">
        <v>1</v>
      </c>
      <c r="X15" s="9">
        <v>6</v>
      </c>
      <c r="Y15" s="9">
        <v>7</v>
      </c>
      <c r="Z15" s="9">
        <v>8</v>
      </c>
      <c r="AA15" s="9">
        <v>1</v>
      </c>
      <c r="AB15" s="9">
        <v>1</v>
      </c>
      <c r="AC15" s="9">
        <v>10</v>
      </c>
      <c r="AD15" s="9">
        <v>10</v>
      </c>
      <c r="AE15" s="9">
        <v>1</v>
      </c>
      <c r="AF15" s="9">
        <v>2</v>
      </c>
      <c r="AG15" s="9">
        <v>1</v>
      </c>
      <c r="AH15" s="9">
        <v>2</v>
      </c>
      <c r="AI15" s="9">
        <v>1</v>
      </c>
      <c r="AJ15" s="9">
        <v>1</v>
      </c>
      <c r="AK15" s="9">
        <v>2</v>
      </c>
      <c r="AL15" s="9">
        <v>40</v>
      </c>
      <c r="AM15" s="9">
        <v>2</v>
      </c>
      <c r="AN15" s="9">
        <v>1</v>
      </c>
      <c r="AO15" s="17" t="s">
        <v>321</v>
      </c>
      <c r="AP15" s="31" t="s">
        <v>354</v>
      </c>
      <c r="AQ15" s="17" t="s">
        <v>355</v>
      </c>
      <c r="AR15" s="9" t="s">
        <v>173</v>
      </c>
      <c r="AS15" s="9">
        <v>1</v>
      </c>
      <c r="AT15" s="9">
        <v>2</v>
      </c>
      <c r="AU15" s="9">
        <v>1</v>
      </c>
      <c r="AV15" s="9">
        <v>36</v>
      </c>
      <c r="AW15" s="9">
        <v>5</v>
      </c>
      <c r="AX15" s="37">
        <f t="shared" si="2"/>
        <v>36.714285714285715</v>
      </c>
      <c r="AY15" s="9">
        <v>1320</v>
      </c>
      <c r="AZ15" s="9">
        <v>2</v>
      </c>
      <c r="BA15" s="9">
        <v>4</v>
      </c>
      <c r="BB15" s="9">
        <v>40</v>
      </c>
      <c r="BC15" s="9">
        <v>4</v>
      </c>
      <c r="BD15" s="9">
        <v>28</v>
      </c>
      <c r="BE15" s="9">
        <v>4</v>
      </c>
      <c r="BF15" s="9">
        <v>2370</v>
      </c>
      <c r="BG15" s="9">
        <v>3</v>
      </c>
      <c r="BH15" s="9">
        <v>48</v>
      </c>
      <c r="BI15" s="9">
        <v>3</v>
      </c>
      <c r="BJ15" s="9">
        <v>34</v>
      </c>
      <c r="BK15" s="9">
        <v>4</v>
      </c>
      <c r="BL15" s="9">
        <v>1</v>
      </c>
      <c r="BN15" s="9">
        <v>2</v>
      </c>
      <c r="BO15" s="9">
        <v>2</v>
      </c>
      <c r="BP15" s="9">
        <v>1</v>
      </c>
      <c r="BR15" s="9">
        <v>1</v>
      </c>
      <c r="BS15" s="9">
        <v>1</v>
      </c>
      <c r="BT15" s="42">
        <v>45492</v>
      </c>
      <c r="BU15" s="18">
        <v>45543</v>
      </c>
      <c r="BV15" s="9">
        <v>1</v>
      </c>
      <c r="BW15" s="9">
        <v>1</v>
      </c>
      <c r="BX15" s="9">
        <v>0</v>
      </c>
      <c r="BY15" s="9">
        <v>2</v>
      </c>
      <c r="BZ15" s="9">
        <v>34</v>
      </c>
      <c r="CA15" s="9">
        <v>1</v>
      </c>
      <c r="CB15" s="18">
        <v>45492</v>
      </c>
      <c r="CC15" s="18">
        <v>45531</v>
      </c>
      <c r="CD15" s="9">
        <v>40</v>
      </c>
      <c r="CE15" s="49">
        <v>0.22859846494386901</v>
      </c>
      <c r="CF15" s="49">
        <v>0.23034536674449299</v>
      </c>
      <c r="CG15" s="49">
        <v>0.29095279870806601</v>
      </c>
      <c r="CH15" s="49">
        <v>0.22632060386283701</v>
      </c>
      <c r="CI15" s="49">
        <v>0.50762834949707802</v>
      </c>
      <c r="CJ15" s="49">
        <v>0.42647509805936801</v>
      </c>
      <c r="CK15" s="49">
        <v>0.43380880552087198</v>
      </c>
      <c r="CL15" s="49">
        <v>0.43244737725758198</v>
      </c>
      <c r="CM15" s="49">
        <v>0.48659481770802498</v>
      </c>
      <c r="CN15" s="49">
        <v>0.49082234525755097</v>
      </c>
      <c r="CO15" s="49">
        <v>0.45486515167970798</v>
      </c>
      <c r="CP15" s="49">
        <v>0.49131403821194097</v>
      </c>
      <c r="CQ15" s="49">
        <v>0.56639667067972499</v>
      </c>
      <c r="CR15" s="49">
        <v>0.58566572936491401</v>
      </c>
      <c r="CS15" s="49">
        <v>0.59508970577318598</v>
      </c>
      <c r="CT15" s="49">
        <v>0.66952782100967601</v>
      </c>
      <c r="CU15" s="49">
        <v>0.86363636363636398</v>
      </c>
      <c r="CV15" s="49">
        <v>0.86363636363636398</v>
      </c>
      <c r="CW15" s="49">
        <v>0.67361111111111105</v>
      </c>
      <c r="CX15" s="49">
        <v>0.86363636363636398</v>
      </c>
      <c r="CY15" s="49">
        <v>0.68686868686868696</v>
      </c>
      <c r="CZ15" s="49">
        <v>0.83703703703703702</v>
      </c>
      <c r="DA15" s="49">
        <v>0.83703703703703702</v>
      </c>
      <c r="DB15" s="49">
        <v>0.83703703703703702</v>
      </c>
      <c r="DC15" s="49">
        <v>0.51678805778486403</v>
      </c>
      <c r="DD15" s="49">
        <v>0.51678805778486403</v>
      </c>
      <c r="DE15" s="49">
        <v>0.47992785109972802</v>
      </c>
      <c r="DF15" s="49">
        <v>0.52576618621440596</v>
      </c>
      <c r="DG15" s="49">
        <v>0.632551683031919</v>
      </c>
      <c r="DH15" s="49">
        <v>0.65672750720774298</v>
      </c>
      <c r="DI15" s="49">
        <v>0.65672750720774298</v>
      </c>
      <c r="DJ15" s="49">
        <v>0.74338665929910697</v>
      </c>
      <c r="DK15" s="49">
        <v>0.43589743589743601</v>
      </c>
      <c r="DL15" s="49">
        <v>0.43589743589743601</v>
      </c>
      <c r="DM15" s="49">
        <v>0.40769230769230802</v>
      </c>
      <c r="DN15" s="49">
        <v>0.47692307692307701</v>
      </c>
      <c r="DO15" s="49">
        <v>0.58021978021978005</v>
      </c>
      <c r="DP15" s="49">
        <v>0.60439560439560402</v>
      </c>
      <c r="DQ15" s="49">
        <v>0.60439560439560402</v>
      </c>
      <c r="DR15" s="49">
        <v>0.643956043956044</v>
      </c>
      <c r="DS15" s="49">
        <v>1.27272727272727</v>
      </c>
      <c r="DT15" s="49">
        <v>1.27272727272727</v>
      </c>
      <c r="DU15" s="49">
        <v>1.8888888888888899</v>
      </c>
      <c r="DV15" s="49">
        <v>1.27272727272727</v>
      </c>
      <c r="DW15" s="49">
        <v>1.84848484848485</v>
      </c>
      <c r="DX15" s="49">
        <v>1.3555555555555601</v>
      </c>
      <c r="DY15" s="49">
        <v>1.3555555555555601</v>
      </c>
      <c r="DZ15" s="49">
        <v>1.3555555555555601</v>
      </c>
      <c r="EA15" s="49">
        <v>31.080904179106501</v>
      </c>
      <c r="EB15" s="49">
        <v>9.5808165894389798</v>
      </c>
      <c r="EC15" s="49">
        <v>3.3240813302704701</v>
      </c>
      <c r="ED15" s="49">
        <v>1.90321794845612</v>
      </c>
      <c r="EE15" s="49">
        <v>120.65103376927</v>
      </c>
      <c r="EF15" s="49">
        <v>63.193348475703402</v>
      </c>
      <c r="EG15" s="49">
        <v>10.300479573929699</v>
      </c>
      <c r="EH15" s="49">
        <v>3.5836506483950799</v>
      </c>
      <c r="EI15" s="49">
        <v>2.1744966333621099</v>
      </c>
      <c r="EJ15" s="49">
        <v>264.18768638886201</v>
      </c>
      <c r="EK15" s="49">
        <v>0.25760992846977898</v>
      </c>
      <c r="EL15" s="49">
        <v>7.9409320335879593E-2</v>
      </c>
      <c r="EM15" s="49">
        <v>2.7551204713482699E-2</v>
      </c>
      <c r="EN15" s="49">
        <v>1.57745680993981E-2</v>
      </c>
      <c r="EO15" s="49">
        <v>0.239198689914291</v>
      </c>
      <c r="EP15" s="49">
        <v>3.8989249327723199E-2</v>
      </c>
      <c r="EQ15" s="49">
        <v>1.35647906129896E-2</v>
      </c>
      <c r="ER15" s="49">
        <v>8.2308780665933008E-3</v>
      </c>
    </row>
    <row r="16" spans="1:148" ht="28" customHeight="1">
      <c r="A16" s="9">
        <v>5</v>
      </c>
      <c r="B16" s="9">
        <f t="shared" si="0"/>
        <v>15</v>
      </c>
      <c r="C16">
        <v>15</v>
      </c>
      <c r="D16" s="9" t="s">
        <v>5</v>
      </c>
      <c r="E16" s="9">
        <v>67203513</v>
      </c>
      <c r="F16" s="37">
        <v>32.285714285714285</v>
      </c>
      <c r="G16" s="20">
        <v>3</v>
      </c>
      <c r="H16" s="18">
        <v>45578</v>
      </c>
      <c r="I16" s="9">
        <f t="shared" si="1"/>
        <v>30</v>
      </c>
      <c r="J16" s="9" t="s">
        <v>41</v>
      </c>
      <c r="K16" s="9">
        <v>3</v>
      </c>
      <c r="L16" s="9">
        <v>2</v>
      </c>
      <c r="M16" s="9" t="s">
        <v>28</v>
      </c>
      <c r="N16" s="17">
        <v>5380</v>
      </c>
      <c r="O16" s="45">
        <v>99.405204460966544</v>
      </c>
      <c r="P16" s="17">
        <v>5</v>
      </c>
      <c r="Q16" s="17">
        <v>2</v>
      </c>
      <c r="R16" s="18">
        <v>45582</v>
      </c>
      <c r="S16" s="9">
        <v>2</v>
      </c>
      <c r="T16" s="9">
        <v>0</v>
      </c>
      <c r="U16" s="9">
        <v>23</v>
      </c>
      <c r="V16" s="9">
        <v>23</v>
      </c>
      <c r="W16" s="9">
        <v>7</v>
      </c>
      <c r="X16" s="9">
        <v>16</v>
      </c>
      <c r="Y16" s="9">
        <v>7</v>
      </c>
      <c r="Z16" s="9">
        <v>15</v>
      </c>
      <c r="AA16" s="9">
        <v>2</v>
      </c>
      <c r="AB16" s="9">
        <v>1</v>
      </c>
      <c r="AC16" s="9">
        <v>9</v>
      </c>
      <c r="AD16" s="9">
        <v>10</v>
      </c>
      <c r="AE16" s="9">
        <v>1</v>
      </c>
      <c r="AF16" s="9">
        <v>1</v>
      </c>
      <c r="AG16" s="9">
        <v>2</v>
      </c>
      <c r="AH16" s="9">
        <v>2</v>
      </c>
      <c r="AI16" s="9">
        <v>1</v>
      </c>
      <c r="AJ16" s="9">
        <v>1</v>
      </c>
      <c r="AK16" s="9">
        <v>2</v>
      </c>
      <c r="AL16" s="9">
        <v>34</v>
      </c>
      <c r="AM16" s="9">
        <v>1</v>
      </c>
      <c r="AN16" s="9">
        <v>1</v>
      </c>
      <c r="AO16" s="9">
        <v>1</v>
      </c>
      <c r="AP16" s="43" t="s">
        <v>505</v>
      </c>
      <c r="AQ16" s="31" t="s">
        <v>348</v>
      </c>
      <c r="AR16" s="9" t="s">
        <v>140</v>
      </c>
      <c r="AS16" s="9">
        <v>1</v>
      </c>
      <c r="AT16" s="9">
        <v>2</v>
      </c>
      <c r="AU16" s="9">
        <v>1</v>
      </c>
      <c r="AV16" s="9">
        <v>37</v>
      </c>
      <c r="AW16" s="9">
        <v>3</v>
      </c>
      <c r="AX16" s="37">
        <f t="shared" si="2"/>
        <v>37.428571428571431</v>
      </c>
      <c r="AY16" s="9">
        <v>1420</v>
      </c>
      <c r="AZ16" s="9">
        <v>2</v>
      </c>
      <c r="BA16" s="9">
        <v>3</v>
      </c>
      <c r="BB16" s="9">
        <v>39</v>
      </c>
      <c r="BC16" s="9">
        <v>3</v>
      </c>
      <c r="BD16" s="9">
        <v>28</v>
      </c>
      <c r="BE16" s="9">
        <v>3</v>
      </c>
      <c r="BF16" s="9">
        <v>2105</v>
      </c>
      <c r="BG16" s="9">
        <v>2</v>
      </c>
      <c r="BH16" s="9">
        <v>45</v>
      </c>
      <c r="BI16" s="9">
        <v>3</v>
      </c>
      <c r="BJ16" s="9">
        <v>32</v>
      </c>
      <c r="BK16" s="9">
        <v>3</v>
      </c>
      <c r="BL16" s="9">
        <v>1</v>
      </c>
      <c r="BN16" s="9">
        <v>2</v>
      </c>
      <c r="BO16" s="9">
        <v>2</v>
      </c>
      <c r="BP16" s="9">
        <v>2</v>
      </c>
      <c r="BQ16" s="9">
        <v>1</v>
      </c>
      <c r="BR16" s="9">
        <v>2</v>
      </c>
      <c r="BS16" s="9">
        <v>2</v>
      </c>
      <c r="BT16" s="18">
        <v>45548</v>
      </c>
      <c r="BU16" s="18">
        <v>45584</v>
      </c>
      <c r="BV16" s="9">
        <v>1</v>
      </c>
      <c r="BW16" s="9">
        <v>1</v>
      </c>
      <c r="BX16" s="9">
        <v>0</v>
      </c>
      <c r="BY16" s="9">
        <v>2</v>
      </c>
      <c r="BZ16" s="9">
        <v>25</v>
      </c>
      <c r="CA16" s="9">
        <v>1</v>
      </c>
      <c r="CB16" s="18">
        <v>45549</v>
      </c>
      <c r="CC16" s="18">
        <v>45561</v>
      </c>
      <c r="CD16" s="9">
        <v>13</v>
      </c>
      <c r="CE16" s="49">
        <v>0.206877686322052</v>
      </c>
      <c r="CF16" s="49">
        <v>0.21305752751809401</v>
      </c>
      <c r="CG16" s="49">
        <v>0.18759363493265199</v>
      </c>
      <c r="CH16" s="49">
        <v>0.18092496759145199</v>
      </c>
      <c r="CI16" s="49">
        <v>0.45520633320932202</v>
      </c>
      <c r="CJ16" s="49">
        <v>0.33341184202612301</v>
      </c>
      <c r="CK16" s="49">
        <v>0.29263397316692302</v>
      </c>
      <c r="CL16" s="49">
        <v>0.33724868052228402</v>
      </c>
      <c r="CM16" s="49">
        <v>0.37145634054797599</v>
      </c>
      <c r="CN16" s="49">
        <v>0.36234568602831602</v>
      </c>
      <c r="CO16" s="49">
        <v>0.39804834228774499</v>
      </c>
      <c r="CP16" s="49">
        <v>0.37527169841348701</v>
      </c>
      <c r="CQ16" s="49">
        <v>0.4530201980054</v>
      </c>
      <c r="CR16" s="49">
        <v>0.41091909784908898</v>
      </c>
      <c r="CS16" s="49">
        <v>0.44136662249727698</v>
      </c>
      <c r="CT16" s="49">
        <v>0.43102418935811998</v>
      </c>
      <c r="CU16" s="49">
        <v>0.79012345679012297</v>
      </c>
      <c r="CV16" s="49">
        <v>0.76436781609195403</v>
      </c>
      <c r="CW16" s="49">
        <v>0.86363636363636398</v>
      </c>
      <c r="CX16" s="49">
        <v>0.86363636363636398</v>
      </c>
      <c r="CY16" s="49">
        <v>0.66346153846153799</v>
      </c>
      <c r="CZ16" s="49">
        <v>0.75297619047619102</v>
      </c>
      <c r="DA16" s="49">
        <v>0.90789473684210498</v>
      </c>
      <c r="DB16" s="49">
        <v>0.75595238095238104</v>
      </c>
      <c r="DC16" s="49">
        <v>0.502564102564102</v>
      </c>
      <c r="DD16" s="49">
        <v>0.48869251755814003</v>
      </c>
      <c r="DE16" s="49">
        <v>0.52576618621440596</v>
      </c>
      <c r="DF16" s="49">
        <v>0.51201288794667899</v>
      </c>
      <c r="DG16" s="49">
        <v>0.63895810374375905</v>
      </c>
      <c r="DH16" s="49">
        <v>0.65695151176293898</v>
      </c>
      <c r="DI16" s="49">
        <v>0.67099763675000601</v>
      </c>
      <c r="DJ16" s="49">
        <v>0.69170815966825105</v>
      </c>
      <c r="DK16" s="49">
        <v>0.502564102564102</v>
      </c>
      <c r="DL16" s="49">
        <v>0.42307692307692302</v>
      </c>
      <c r="DM16" s="49">
        <v>0.47692307692307701</v>
      </c>
      <c r="DN16" s="49">
        <v>0.41025641025641002</v>
      </c>
      <c r="DO16" s="49">
        <v>0.61691086691086705</v>
      </c>
      <c r="DP16" s="49">
        <v>0.58669108669108705</v>
      </c>
      <c r="DQ16" s="49">
        <v>0.58901098901098903</v>
      </c>
      <c r="DR16" s="49">
        <v>0.60207570207570205</v>
      </c>
      <c r="DS16" s="49">
        <v>1.44444444444444</v>
      </c>
      <c r="DT16" s="49">
        <v>1.5172413793103401</v>
      </c>
      <c r="DU16" s="49">
        <v>1.27272727272727</v>
      </c>
      <c r="DV16" s="49">
        <v>1.27272727272727</v>
      </c>
      <c r="DW16" s="49">
        <v>1.82051282051282</v>
      </c>
      <c r="DX16" s="49">
        <v>1.58928571428571</v>
      </c>
      <c r="DY16" s="49">
        <v>1.18421052631579</v>
      </c>
      <c r="DZ16" s="49">
        <v>1.5714285714285701</v>
      </c>
      <c r="EA16" s="49">
        <v>44.666019050232499</v>
      </c>
      <c r="EB16" s="49">
        <v>17.231104612409901</v>
      </c>
      <c r="EC16" s="49">
        <v>6.0881258490416998</v>
      </c>
      <c r="ED16" s="49">
        <v>2.6936744006706999</v>
      </c>
      <c r="EE16" s="49">
        <v>202.013676694895</v>
      </c>
      <c r="EF16" s="49">
        <v>71.345559003929196</v>
      </c>
      <c r="EG16" s="49">
        <v>19.200468558899299</v>
      </c>
      <c r="EH16" s="49">
        <v>6.4853928000606196</v>
      </c>
      <c r="EI16" s="49">
        <v>3.3355548675715299</v>
      </c>
      <c r="EJ16" s="49">
        <v>328.44788727633801</v>
      </c>
      <c r="EK16" s="49">
        <v>0.22110393603544201</v>
      </c>
      <c r="EL16" s="49">
        <v>8.5296722946309897E-2</v>
      </c>
      <c r="EM16" s="49">
        <v>3.0137196395057599E-2</v>
      </c>
      <c r="EN16" s="49">
        <v>1.33341189801669E-2</v>
      </c>
      <c r="EO16" s="49">
        <v>0.21722033165006499</v>
      </c>
      <c r="EP16" s="49">
        <v>5.8458188658540799E-2</v>
      </c>
      <c r="EQ16" s="49">
        <v>1.9745576242980001E-2</v>
      </c>
      <c r="ER16" s="49">
        <v>1.0155507149799899E-2</v>
      </c>
    </row>
    <row r="17" spans="1:148" ht="28" customHeight="1">
      <c r="A17" s="9">
        <v>4</v>
      </c>
      <c r="B17" s="9">
        <f t="shared" si="0"/>
        <v>16</v>
      </c>
      <c r="C17">
        <v>16</v>
      </c>
      <c r="D17" s="9" t="s">
        <v>183</v>
      </c>
      <c r="E17" s="9">
        <v>67203526</v>
      </c>
      <c r="F17" s="37">
        <v>32.285714285714285</v>
      </c>
      <c r="G17" s="9">
        <v>2</v>
      </c>
      <c r="H17" s="9" t="s">
        <v>22</v>
      </c>
      <c r="I17" s="9">
        <f t="shared" si="1"/>
        <v>32</v>
      </c>
      <c r="J17" s="9" t="s">
        <v>510</v>
      </c>
      <c r="K17" s="9">
        <v>3</v>
      </c>
      <c r="L17" s="9">
        <v>2</v>
      </c>
      <c r="M17" s="9" t="s">
        <v>28</v>
      </c>
      <c r="N17" s="17">
        <v>5132</v>
      </c>
      <c r="O17" s="45">
        <v>99.06469212782541</v>
      </c>
      <c r="P17" s="17">
        <v>5</v>
      </c>
      <c r="Q17" s="17">
        <v>2</v>
      </c>
      <c r="R17" s="18">
        <v>45582</v>
      </c>
      <c r="S17" s="9">
        <v>2</v>
      </c>
      <c r="T17" s="9">
        <v>0</v>
      </c>
      <c r="U17" s="9">
        <v>29</v>
      </c>
      <c r="V17" s="9">
        <v>29</v>
      </c>
      <c r="W17" s="9">
        <v>5</v>
      </c>
      <c r="X17" s="9">
        <v>17</v>
      </c>
      <c r="Y17" s="9">
        <v>4</v>
      </c>
      <c r="Z17" s="9">
        <v>18</v>
      </c>
      <c r="AA17" s="9">
        <v>2</v>
      </c>
      <c r="AB17" s="9">
        <v>1</v>
      </c>
      <c r="AC17" s="9">
        <v>8</v>
      </c>
      <c r="AD17" s="9">
        <v>10</v>
      </c>
      <c r="AE17" s="9">
        <v>1</v>
      </c>
      <c r="AF17" s="9">
        <v>1</v>
      </c>
      <c r="AG17" s="9">
        <v>2</v>
      </c>
      <c r="AH17" s="9">
        <v>2</v>
      </c>
      <c r="AI17" s="9">
        <v>1</v>
      </c>
      <c r="AJ17" s="9">
        <v>1</v>
      </c>
      <c r="AK17" s="9">
        <v>2</v>
      </c>
      <c r="AL17" s="9">
        <v>34</v>
      </c>
      <c r="AM17" s="9">
        <v>1</v>
      </c>
      <c r="AN17" s="9">
        <v>1</v>
      </c>
      <c r="AO17" s="9">
        <v>1</v>
      </c>
      <c r="AQ17" s="31" t="s">
        <v>347</v>
      </c>
      <c r="AR17" s="9" t="s">
        <v>141</v>
      </c>
      <c r="AS17" s="9" t="s">
        <v>313</v>
      </c>
      <c r="AT17" s="9">
        <v>2</v>
      </c>
      <c r="AU17" s="9">
        <v>1</v>
      </c>
      <c r="AV17" s="9">
        <v>37</v>
      </c>
      <c r="AW17" s="9">
        <v>3</v>
      </c>
      <c r="AX17" s="37">
        <f t="shared" si="2"/>
        <v>37.428571428571431</v>
      </c>
      <c r="AY17" s="40">
        <v>1390</v>
      </c>
      <c r="AZ17" s="9">
        <v>2</v>
      </c>
      <c r="BA17" s="9">
        <v>3</v>
      </c>
      <c r="BB17" s="9">
        <v>39</v>
      </c>
      <c r="BC17" s="9">
        <v>3</v>
      </c>
      <c r="BD17" s="9">
        <v>27</v>
      </c>
      <c r="BE17" s="9">
        <v>3</v>
      </c>
      <c r="BF17" s="9">
        <v>2050</v>
      </c>
      <c r="BG17" s="9">
        <v>1</v>
      </c>
      <c r="BH17" s="9">
        <v>46</v>
      </c>
      <c r="BI17" s="9">
        <v>3</v>
      </c>
      <c r="BJ17" s="9">
        <v>32</v>
      </c>
      <c r="BK17" s="9">
        <v>3</v>
      </c>
      <c r="BL17" s="9">
        <v>1</v>
      </c>
      <c r="BN17" s="9">
        <v>2</v>
      </c>
      <c r="BO17" s="9">
        <v>2</v>
      </c>
      <c r="BP17" s="9">
        <v>1</v>
      </c>
      <c r="BR17" s="9">
        <v>1</v>
      </c>
      <c r="BS17" s="9">
        <v>1</v>
      </c>
      <c r="BT17" s="18">
        <v>45548</v>
      </c>
      <c r="BU17" s="18">
        <v>45584</v>
      </c>
      <c r="BV17" s="9">
        <v>1</v>
      </c>
      <c r="BW17" s="9">
        <v>1</v>
      </c>
      <c r="BX17" s="9">
        <v>0</v>
      </c>
      <c r="BY17" s="9">
        <v>2</v>
      </c>
      <c r="BZ17" s="9">
        <v>35</v>
      </c>
      <c r="CA17" s="9">
        <v>1</v>
      </c>
      <c r="CB17" s="18">
        <v>45548</v>
      </c>
      <c r="CC17" s="18">
        <v>45572</v>
      </c>
      <c r="CD17" s="9">
        <v>25</v>
      </c>
      <c r="CE17" s="49">
        <v>0.195218906296898</v>
      </c>
      <c r="CF17" s="49">
        <v>0.19292705639014401</v>
      </c>
      <c r="CG17" s="49">
        <v>0.20042239984517099</v>
      </c>
      <c r="CH17" s="49">
        <v>0.20279315733636999</v>
      </c>
      <c r="CI17" s="49">
        <v>0.43214084006377101</v>
      </c>
      <c r="CJ17" s="49">
        <v>0.34332701332343002</v>
      </c>
      <c r="CK17" s="49">
        <v>0.34727095027378502</v>
      </c>
      <c r="CL17" s="49">
        <v>0.34070260456300999</v>
      </c>
      <c r="CM17" s="49">
        <v>0.421179786401292</v>
      </c>
      <c r="CN17" s="49">
        <v>0.412541097712671</v>
      </c>
      <c r="CO17" s="49">
        <v>0.42799470449465499</v>
      </c>
      <c r="CP17" s="49">
        <v>0.42859246579811</v>
      </c>
      <c r="CQ17" s="49">
        <v>0.54508286380430404</v>
      </c>
      <c r="CR17" s="49">
        <v>0.45959651611330099</v>
      </c>
      <c r="CS17" s="49">
        <v>0.40931794127246701</v>
      </c>
      <c r="CT17" s="49">
        <v>0.40034292880377398</v>
      </c>
      <c r="CU17" s="49">
        <v>0.77380952380952395</v>
      </c>
      <c r="CV17" s="49">
        <v>0.77380952380952395</v>
      </c>
      <c r="CW17" s="49">
        <v>0.77380952380952395</v>
      </c>
      <c r="CX17" s="49">
        <v>0.76785714285714302</v>
      </c>
      <c r="CY17" s="49">
        <v>0.65149572649572596</v>
      </c>
      <c r="CZ17" s="49">
        <v>0.76785714285714302</v>
      </c>
      <c r="DA17" s="49">
        <v>0.76190476190476197</v>
      </c>
      <c r="DB17" s="49">
        <v>0.76190476190476197</v>
      </c>
      <c r="DC17" s="49">
        <v>0.58716382943402201</v>
      </c>
      <c r="DD17" s="49">
        <v>0.58716382943402201</v>
      </c>
      <c r="DE17" s="49">
        <v>0.58716382943402201</v>
      </c>
      <c r="DF17" s="49">
        <v>0.58133071357524302</v>
      </c>
      <c r="DG17" s="49">
        <v>0.811386644238838</v>
      </c>
      <c r="DH17" s="49">
        <v>0.72269182612481597</v>
      </c>
      <c r="DI17" s="49">
        <v>0.63421157217846802</v>
      </c>
      <c r="DJ17" s="49">
        <v>0.63421157217846802</v>
      </c>
      <c r="DK17" s="49">
        <v>0.492307692307692</v>
      </c>
      <c r="DL17" s="49">
        <v>0.492307692307692</v>
      </c>
      <c r="DM17" s="49">
        <v>0.492307692307692</v>
      </c>
      <c r="DN17" s="49">
        <v>0.46153846153846101</v>
      </c>
      <c r="DO17" s="49">
        <v>0.661904761904762</v>
      </c>
      <c r="DP17" s="49">
        <v>0.63339438339438303</v>
      </c>
      <c r="DQ17" s="49">
        <v>0.58333333333333304</v>
      </c>
      <c r="DR17" s="49">
        <v>0.58333333333333304</v>
      </c>
      <c r="DS17" s="49">
        <v>1.5</v>
      </c>
      <c r="DT17" s="49">
        <v>1.5</v>
      </c>
      <c r="DU17" s="49">
        <v>1.5</v>
      </c>
      <c r="DV17" s="49">
        <v>1.53571428571429</v>
      </c>
      <c r="DW17" s="49">
        <v>1.9358974358974399</v>
      </c>
      <c r="DX17" s="49">
        <v>1.5</v>
      </c>
      <c r="DY17" s="49">
        <v>1.53571428571429</v>
      </c>
      <c r="DZ17" s="49">
        <v>1.53571428571429</v>
      </c>
      <c r="EA17" s="49">
        <v>40.464574307413102</v>
      </c>
      <c r="EB17" s="49">
        <v>9.6615560699023604</v>
      </c>
      <c r="EC17" s="49">
        <v>3.9351708808341201</v>
      </c>
      <c r="ED17" s="49">
        <v>2.0266568789916199</v>
      </c>
      <c r="EE17" s="49">
        <v>206.300552269066</v>
      </c>
      <c r="EF17" s="49">
        <v>62.869904429880698</v>
      </c>
      <c r="EG17" s="49">
        <v>13.6755265267146</v>
      </c>
      <c r="EH17" s="49">
        <v>4.4906150664194202</v>
      </c>
      <c r="EI17" s="49">
        <v>2.3041662761105499</v>
      </c>
      <c r="EJ17" s="49">
        <v>315.05316757642402</v>
      </c>
      <c r="EK17" s="49">
        <v>0.19614380020969299</v>
      </c>
      <c r="EL17" s="49">
        <v>4.6832429499758799E-2</v>
      </c>
      <c r="EM17" s="49">
        <v>1.9074941087417401E-2</v>
      </c>
      <c r="EN17" s="49">
        <v>9.8238073369205405E-3</v>
      </c>
      <c r="EO17" s="49">
        <v>0.19955331639263699</v>
      </c>
      <c r="EP17" s="49">
        <v>4.3407043426717098E-2</v>
      </c>
      <c r="EQ17" s="49">
        <v>1.42535150525986E-2</v>
      </c>
      <c r="ER17" s="49">
        <v>7.3135791454996902E-3</v>
      </c>
    </row>
    <row r="18" spans="1:148" ht="28" customHeight="1">
      <c r="A18" s="17">
        <v>62</v>
      </c>
      <c r="B18" s="9">
        <f t="shared" si="0"/>
        <v>17</v>
      </c>
      <c r="C18">
        <v>17</v>
      </c>
      <c r="D18" s="9" t="s">
        <v>206</v>
      </c>
      <c r="E18" s="9">
        <v>64906734</v>
      </c>
      <c r="F18" s="37">
        <v>31.142857142857142</v>
      </c>
      <c r="G18" s="9">
        <v>2</v>
      </c>
      <c r="H18" s="18">
        <v>44427</v>
      </c>
      <c r="I18" s="20">
        <f t="shared" si="1"/>
        <v>32</v>
      </c>
      <c r="J18" s="28" t="s">
        <v>539</v>
      </c>
      <c r="K18" s="9">
        <v>3</v>
      </c>
      <c r="L18" s="9">
        <v>2</v>
      </c>
      <c r="M18" s="18">
        <v>44395</v>
      </c>
      <c r="N18" s="17">
        <v>7496</v>
      </c>
      <c r="O18" s="45">
        <v>72.785485592315908</v>
      </c>
      <c r="P18" s="17">
        <v>4</v>
      </c>
      <c r="Q18" s="17">
        <v>2</v>
      </c>
      <c r="R18" s="18">
        <v>44433</v>
      </c>
      <c r="S18" s="9">
        <v>2</v>
      </c>
      <c r="T18" s="9">
        <v>2</v>
      </c>
      <c r="U18" s="9">
        <v>11</v>
      </c>
      <c r="V18" s="9">
        <v>13</v>
      </c>
      <c r="W18" s="9">
        <v>8</v>
      </c>
      <c r="X18" s="9">
        <v>17</v>
      </c>
      <c r="Y18" s="9">
        <v>4</v>
      </c>
      <c r="Z18" s="9">
        <v>29</v>
      </c>
      <c r="AA18" s="9">
        <v>2</v>
      </c>
      <c r="AB18" s="9">
        <v>2</v>
      </c>
      <c r="AC18" s="9">
        <v>6</v>
      </c>
      <c r="AD18" s="9">
        <v>10</v>
      </c>
      <c r="AE18" s="9">
        <v>5</v>
      </c>
      <c r="AF18" s="9">
        <v>2</v>
      </c>
      <c r="AG18" s="9">
        <v>2</v>
      </c>
      <c r="AH18" s="9">
        <v>2</v>
      </c>
      <c r="AI18" s="9">
        <v>2</v>
      </c>
      <c r="AJ18" s="9">
        <v>1</v>
      </c>
      <c r="AK18" s="9">
        <v>1</v>
      </c>
      <c r="AL18" s="9">
        <v>34</v>
      </c>
      <c r="AM18" s="9">
        <v>3</v>
      </c>
      <c r="AN18" s="9">
        <v>1</v>
      </c>
      <c r="AO18" s="9" t="s">
        <v>435</v>
      </c>
      <c r="AP18" s="9" t="s">
        <v>436</v>
      </c>
      <c r="AQ18" s="9" t="s">
        <v>437</v>
      </c>
      <c r="AR18" s="9" t="s">
        <v>438</v>
      </c>
      <c r="AS18" s="9">
        <v>1</v>
      </c>
      <c r="AT18" s="9">
        <v>2</v>
      </c>
      <c r="AU18" s="9">
        <v>2</v>
      </c>
      <c r="AV18" s="9">
        <v>39</v>
      </c>
      <c r="AW18" s="9">
        <v>0</v>
      </c>
      <c r="AX18" s="37">
        <f t="shared" si="2"/>
        <v>39</v>
      </c>
      <c r="AY18" s="9">
        <v>1380</v>
      </c>
      <c r="AZ18" s="9">
        <v>2</v>
      </c>
      <c r="BA18" s="9">
        <v>3</v>
      </c>
      <c r="BB18" s="9">
        <v>38</v>
      </c>
      <c r="BC18" s="9">
        <v>3</v>
      </c>
      <c r="BD18" s="9">
        <v>28</v>
      </c>
      <c r="BE18" s="9">
        <v>3</v>
      </c>
      <c r="BF18" s="9">
        <v>2145</v>
      </c>
      <c r="BG18" s="9">
        <v>1</v>
      </c>
      <c r="BH18" s="9">
        <v>48</v>
      </c>
      <c r="BI18" s="9">
        <v>3</v>
      </c>
      <c r="BJ18" s="9">
        <v>31</v>
      </c>
      <c r="BK18" s="9">
        <v>1</v>
      </c>
      <c r="BL18" s="9">
        <v>2</v>
      </c>
      <c r="BM18" s="9">
        <v>1</v>
      </c>
      <c r="BN18" s="9">
        <v>2</v>
      </c>
      <c r="BO18" s="9">
        <v>2</v>
      </c>
      <c r="BP18" s="9">
        <v>1</v>
      </c>
      <c r="BR18" s="9">
        <v>1</v>
      </c>
      <c r="BS18" s="9">
        <v>1</v>
      </c>
      <c r="BT18" s="18">
        <v>44395</v>
      </c>
      <c r="BU18" s="18">
        <v>44456</v>
      </c>
      <c r="BV18" s="9">
        <v>1</v>
      </c>
      <c r="BW18" s="9">
        <v>1</v>
      </c>
      <c r="BX18" s="9">
        <v>0</v>
      </c>
      <c r="BY18" s="9">
        <v>2</v>
      </c>
      <c r="BZ18" s="9">
        <v>75</v>
      </c>
      <c r="CA18" s="9">
        <v>1</v>
      </c>
      <c r="CB18" s="18">
        <v>44395</v>
      </c>
      <c r="CC18" s="18">
        <v>44420</v>
      </c>
      <c r="CD18" s="9">
        <v>26</v>
      </c>
      <c r="CE18" s="49">
        <v>0.21196309104502001</v>
      </c>
      <c r="CF18" s="49">
        <v>0.20735531482181799</v>
      </c>
      <c r="CG18" s="49">
        <v>0.201187458175168</v>
      </c>
      <c r="CH18" s="49">
        <v>0.20056979994933499</v>
      </c>
      <c r="CI18" s="49">
        <v>0.458703493297072</v>
      </c>
      <c r="CJ18" s="49">
        <v>0.406848064107595</v>
      </c>
      <c r="CK18" s="49">
        <v>0.38525866725545099</v>
      </c>
      <c r="CL18" s="49">
        <v>0.38132956591669598</v>
      </c>
      <c r="CM18" s="49">
        <v>0.28364923152230698</v>
      </c>
      <c r="CN18" s="49">
        <v>0.29652901198081699</v>
      </c>
      <c r="CO18" s="49">
        <v>0.28826532922789</v>
      </c>
      <c r="CP18" s="49">
        <v>0.28884691761975301</v>
      </c>
      <c r="CQ18" s="49">
        <v>0.60527128118774198</v>
      </c>
      <c r="CR18" s="49">
        <v>0.55258985543035599</v>
      </c>
      <c r="CS18" s="49">
        <v>0.47675879145893402</v>
      </c>
      <c r="CT18" s="49">
        <v>0.51166155221399101</v>
      </c>
      <c r="CU18" s="49">
        <v>0.79012345679012297</v>
      </c>
      <c r="CV18" s="49">
        <v>0.74731182795698903</v>
      </c>
      <c r="CW18" s="49">
        <v>0.74193548387096797</v>
      </c>
      <c r="CX18" s="49">
        <v>0.74193548387096797</v>
      </c>
      <c r="CY18" s="49">
        <v>0.62072649572649596</v>
      </c>
      <c r="CZ18" s="49">
        <v>0.64743589743589802</v>
      </c>
      <c r="DA18" s="49">
        <v>0.65705128205128205</v>
      </c>
      <c r="DB18" s="49">
        <v>0.66452991452991395</v>
      </c>
      <c r="DC18" s="49">
        <v>0.36284614878108401</v>
      </c>
      <c r="DD18" s="49">
        <v>0.42057163134432801</v>
      </c>
      <c r="DE18" s="49">
        <v>0.414128200063135</v>
      </c>
      <c r="DF18" s="49">
        <v>0.414128200063135</v>
      </c>
      <c r="DG18" s="49">
        <v>0.78304344609038101</v>
      </c>
      <c r="DH18" s="49">
        <v>0.83179631319978498</v>
      </c>
      <c r="DI18" s="49">
        <v>0.78040604696312799</v>
      </c>
      <c r="DJ18" s="49">
        <v>0.87087458901799197</v>
      </c>
      <c r="DK18" s="49">
        <v>0.30256410256410299</v>
      </c>
      <c r="DL18" s="49">
        <v>0.36410256410256397</v>
      </c>
      <c r="DM18" s="49">
        <v>0.35384615384615398</v>
      </c>
      <c r="DN18" s="49">
        <v>0.35384615384615398</v>
      </c>
      <c r="DO18" s="49">
        <v>0.72344322344322298</v>
      </c>
      <c r="DP18" s="49">
        <v>0.66575091575091605</v>
      </c>
      <c r="DQ18" s="49">
        <v>0.63846153846153797</v>
      </c>
      <c r="DR18" s="49">
        <v>0.60256410256410298</v>
      </c>
      <c r="DS18" s="49">
        <v>1.44444444444444</v>
      </c>
      <c r="DT18" s="49">
        <v>1.54838709677419</v>
      </c>
      <c r="DU18" s="49">
        <v>1.5806451612903201</v>
      </c>
      <c r="DV18" s="49">
        <v>1.5806451612903201</v>
      </c>
      <c r="DW18" s="49">
        <v>2.1666666666666701</v>
      </c>
      <c r="DX18" s="49">
        <v>1.9358974358974399</v>
      </c>
      <c r="DY18" s="49">
        <v>1.87179487179487</v>
      </c>
      <c r="DZ18" s="49">
        <v>1.8076923076923099</v>
      </c>
      <c r="EA18" s="49">
        <v>30.900501966312898</v>
      </c>
      <c r="EB18" s="49">
        <v>5.6565825274948098</v>
      </c>
      <c r="EC18" s="49">
        <v>3.14754716968875</v>
      </c>
      <c r="ED18" s="49">
        <v>1.6203904409349601</v>
      </c>
      <c r="EE18" s="49">
        <v>217.55788548143599</v>
      </c>
      <c r="EF18" s="49">
        <v>63.0962732867958</v>
      </c>
      <c r="EG18" s="49">
        <v>7.6874206725899601</v>
      </c>
      <c r="EH18" s="49">
        <v>2.7106219977278601</v>
      </c>
      <c r="EI18" s="49">
        <v>1.74186769664084</v>
      </c>
      <c r="EJ18" s="49">
        <v>353.90219996309401</v>
      </c>
      <c r="EK18" s="49">
        <v>0.14203347259940899</v>
      </c>
      <c r="EL18" s="49">
        <v>2.6000356249911601E-2</v>
      </c>
      <c r="EM18" s="49">
        <v>1.4467630822590101E-2</v>
      </c>
      <c r="EN18" s="49">
        <v>7.4480887573860101E-3</v>
      </c>
      <c r="EO18" s="49">
        <v>0.178287315799042</v>
      </c>
      <c r="EP18" s="49">
        <v>2.1721878737661501E-2</v>
      </c>
      <c r="EQ18" s="49">
        <v>7.6592403155745798E-3</v>
      </c>
      <c r="ER18" s="49">
        <v>4.9218899934006799E-3</v>
      </c>
    </row>
    <row r="19" spans="1:148" ht="28" customHeight="1">
      <c r="A19" s="9">
        <v>26</v>
      </c>
      <c r="B19" s="9">
        <f t="shared" si="0"/>
        <v>18</v>
      </c>
      <c r="C19">
        <v>18</v>
      </c>
      <c r="D19" s="20" t="s">
        <v>182</v>
      </c>
      <c r="E19" s="20">
        <v>67079367</v>
      </c>
      <c r="F19" s="37">
        <v>32.142857142857146</v>
      </c>
      <c r="G19" s="20">
        <v>3</v>
      </c>
      <c r="H19" s="23" t="s">
        <v>60</v>
      </c>
      <c r="I19" s="24">
        <f t="shared" si="1"/>
        <v>26</v>
      </c>
      <c r="J19" s="25" t="s">
        <v>540</v>
      </c>
      <c r="K19" s="9">
        <v>3</v>
      </c>
      <c r="L19" s="9">
        <v>2</v>
      </c>
      <c r="M19" s="23" t="s">
        <v>72</v>
      </c>
      <c r="N19" s="17">
        <v>4656</v>
      </c>
      <c r="O19" s="45">
        <v>63.917525773195869</v>
      </c>
      <c r="P19" s="17">
        <v>4</v>
      </c>
      <c r="Q19" s="17">
        <v>2</v>
      </c>
      <c r="R19" s="18">
        <v>45458</v>
      </c>
      <c r="S19" s="9">
        <v>2</v>
      </c>
      <c r="T19" s="9">
        <v>16</v>
      </c>
      <c r="U19" s="9">
        <v>18</v>
      </c>
      <c r="V19" s="9">
        <v>34</v>
      </c>
      <c r="W19" s="9">
        <v>12</v>
      </c>
      <c r="X19" s="9">
        <v>8</v>
      </c>
      <c r="Y19" s="9">
        <v>6</v>
      </c>
      <c r="Z19" s="9">
        <v>26</v>
      </c>
      <c r="AA19" s="9">
        <v>1</v>
      </c>
      <c r="AB19" s="9">
        <v>1</v>
      </c>
      <c r="AC19" s="9">
        <v>9</v>
      </c>
      <c r="AD19" s="9">
        <v>10</v>
      </c>
      <c r="AE19" s="9">
        <v>1</v>
      </c>
      <c r="AF19" s="9">
        <v>2</v>
      </c>
      <c r="AG19" s="9">
        <v>2</v>
      </c>
      <c r="AH19" s="9">
        <v>2</v>
      </c>
      <c r="AI19" s="9">
        <v>1</v>
      </c>
      <c r="AJ19" s="9">
        <v>2</v>
      </c>
      <c r="AK19" s="9">
        <v>1</v>
      </c>
      <c r="AL19" s="9">
        <v>31</v>
      </c>
      <c r="AM19" s="9">
        <v>2</v>
      </c>
      <c r="AN19" s="9">
        <v>1</v>
      </c>
      <c r="AO19" s="17" t="s">
        <v>373</v>
      </c>
      <c r="AP19" s="17" t="s">
        <v>374</v>
      </c>
      <c r="AQ19" s="31" t="s">
        <v>375</v>
      </c>
      <c r="AR19" s="9" t="s">
        <v>147</v>
      </c>
      <c r="AS19" s="9">
        <v>1</v>
      </c>
      <c r="AT19" s="9">
        <v>2</v>
      </c>
      <c r="AU19" s="9">
        <v>1</v>
      </c>
      <c r="AV19" s="9">
        <v>37</v>
      </c>
      <c r="AW19" s="9">
        <v>0</v>
      </c>
      <c r="AX19" s="37">
        <f t="shared" si="2"/>
        <v>37</v>
      </c>
      <c r="AY19" s="9">
        <v>1590</v>
      </c>
      <c r="AZ19" s="9">
        <v>3</v>
      </c>
      <c r="BA19" s="9">
        <v>2</v>
      </c>
      <c r="BB19" s="9">
        <v>40</v>
      </c>
      <c r="BC19" s="9">
        <v>3</v>
      </c>
      <c r="BD19" s="9">
        <v>30</v>
      </c>
      <c r="BE19" s="9">
        <v>4</v>
      </c>
      <c r="BF19" s="9">
        <v>1965</v>
      </c>
      <c r="BG19" s="9">
        <v>1</v>
      </c>
      <c r="BH19" s="9">
        <v>42</v>
      </c>
      <c r="BI19" s="9">
        <v>1</v>
      </c>
      <c r="BJ19" s="9">
        <v>31</v>
      </c>
      <c r="BK19" s="9">
        <v>2</v>
      </c>
      <c r="BL19" s="9">
        <v>1</v>
      </c>
      <c r="BN19" s="9">
        <v>2</v>
      </c>
      <c r="BO19" s="9">
        <v>1</v>
      </c>
      <c r="BP19" s="9">
        <v>1</v>
      </c>
      <c r="BR19" s="9">
        <v>1</v>
      </c>
      <c r="BS19" s="9">
        <v>1</v>
      </c>
      <c r="BT19" s="42">
        <v>45425</v>
      </c>
      <c r="BU19" s="18">
        <v>45473</v>
      </c>
      <c r="BV19" s="9">
        <v>1</v>
      </c>
      <c r="BW19" s="9">
        <v>1</v>
      </c>
      <c r="BX19" s="9">
        <v>0</v>
      </c>
      <c r="BY19" s="9">
        <v>2</v>
      </c>
      <c r="BZ19" s="9">
        <v>35</v>
      </c>
      <c r="CA19" s="9">
        <v>1</v>
      </c>
      <c r="CB19" s="18">
        <v>45425</v>
      </c>
      <c r="CC19" s="18">
        <v>45426</v>
      </c>
      <c r="CD19" s="9">
        <v>2</v>
      </c>
      <c r="CE19" s="49">
        <v>0.16686661534724001</v>
      </c>
      <c r="CF19" s="49">
        <v>0.21510059420040001</v>
      </c>
      <c r="CG19" s="49">
        <v>0.222535545876377</v>
      </c>
      <c r="CH19" s="49">
        <v>0.22766119807429699</v>
      </c>
      <c r="CI19" s="49">
        <v>0.40765433592538503</v>
      </c>
      <c r="CJ19" s="49">
        <v>0.38568044897460702</v>
      </c>
      <c r="CK19" s="49">
        <v>0.40433504769610101</v>
      </c>
      <c r="CL19" s="49">
        <v>0.397752761773009</v>
      </c>
      <c r="CM19" s="49">
        <v>0.389395643885519</v>
      </c>
      <c r="CN19" s="49">
        <v>0.376564371531175</v>
      </c>
      <c r="CO19" s="49">
        <v>0.31105050486188801</v>
      </c>
      <c r="CP19" s="49">
        <v>0.32275065321725199</v>
      </c>
      <c r="CQ19" s="49">
        <v>0.41805563343861202</v>
      </c>
      <c r="CR19" s="49">
        <v>0.50914387138728301</v>
      </c>
      <c r="CS19" s="49">
        <v>0.47860124763661199</v>
      </c>
      <c r="CT19" s="49">
        <v>0.52619683564307296</v>
      </c>
      <c r="CU19" s="49">
        <v>0.77884615384615397</v>
      </c>
      <c r="CV19" s="49">
        <v>0.59384057971014503</v>
      </c>
      <c r="CW19" s="49">
        <v>0.57898550724637698</v>
      </c>
      <c r="CX19" s="49">
        <v>0.57898550724637698</v>
      </c>
      <c r="CY19" s="49">
        <v>0.65277777777777701</v>
      </c>
      <c r="CZ19" s="49">
        <v>0.66452991452991395</v>
      </c>
      <c r="DA19" s="49">
        <v>0.66132478632478597</v>
      </c>
      <c r="DB19" s="49">
        <v>0.64743589743589702</v>
      </c>
      <c r="DC19" s="49">
        <v>0.61986672061375403</v>
      </c>
      <c r="DD19" s="49">
        <v>0.630610211481621</v>
      </c>
      <c r="DE19" s="49">
        <v>0.48799514573793201</v>
      </c>
      <c r="DF19" s="49">
        <v>0.48799514573793201</v>
      </c>
      <c r="DG19" s="49">
        <v>0.66294519226592696</v>
      </c>
      <c r="DH19" s="49">
        <v>0.87370339368861205</v>
      </c>
      <c r="DI19" s="49">
        <v>0.77988278793850896</v>
      </c>
      <c r="DJ19" s="49">
        <v>0.85433876245506502</v>
      </c>
      <c r="DK19" s="49">
        <v>0.53846153846153799</v>
      </c>
      <c r="DL19" s="49">
        <v>0.517948717948718</v>
      </c>
      <c r="DM19" s="49">
        <v>0.46153846153846201</v>
      </c>
      <c r="DN19" s="49">
        <v>0.46153846153846201</v>
      </c>
      <c r="DO19" s="49">
        <v>0.477472527472528</v>
      </c>
      <c r="DP19" s="49">
        <v>0.70842490842490802</v>
      </c>
      <c r="DQ19" s="49">
        <v>0.64102564102564097</v>
      </c>
      <c r="DR19" s="49">
        <v>0.78717948717948705</v>
      </c>
      <c r="DS19" s="49">
        <v>1.57692307692308</v>
      </c>
      <c r="DT19" s="49">
        <v>2.2608695652173898</v>
      </c>
      <c r="DU19" s="49">
        <v>2.4130434782608701</v>
      </c>
      <c r="DV19" s="49">
        <v>2.4130434782608701</v>
      </c>
      <c r="DW19" s="49">
        <v>1.9102564102564099</v>
      </c>
      <c r="DX19" s="49">
        <v>1.8076923076923099</v>
      </c>
      <c r="DY19" s="49">
        <v>1.8333333333333299</v>
      </c>
      <c r="DZ19" s="49">
        <v>1.9102564102564099</v>
      </c>
      <c r="EA19" s="49">
        <v>41.3958764485917</v>
      </c>
      <c r="EB19" s="49">
        <v>26.6103552540206</v>
      </c>
      <c r="EC19" s="49">
        <v>10.8165306624721</v>
      </c>
      <c r="ED19" s="49">
        <v>4.1250160487503598</v>
      </c>
      <c r="EE19" s="49">
        <v>174.26214015937401</v>
      </c>
      <c r="EF19" s="49">
        <v>13.8786107320749</v>
      </c>
      <c r="EG19" s="49">
        <v>10.9937848075263</v>
      </c>
      <c r="EH19" s="49">
        <v>6.0525006498723597</v>
      </c>
      <c r="EI19" s="49">
        <v>2.4657359825565099</v>
      </c>
      <c r="EJ19" s="49">
        <v>74.959911226683104</v>
      </c>
      <c r="EK19" s="49">
        <v>0.23754945515263601</v>
      </c>
      <c r="EL19" s="49">
        <v>0.152703021033046</v>
      </c>
      <c r="EM19" s="49">
        <v>6.2070456913818101E-2</v>
      </c>
      <c r="EN19" s="49">
        <v>2.3671326686208301E-2</v>
      </c>
      <c r="EO19" s="49">
        <v>0.185147107366566</v>
      </c>
      <c r="EP19" s="49">
        <v>0.146662190864667</v>
      </c>
      <c r="EQ19" s="49">
        <v>8.0743167258686493E-2</v>
      </c>
      <c r="ER19" s="49">
        <v>3.2894062202127997E-2</v>
      </c>
    </row>
    <row r="20" spans="1:148" ht="28" customHeight="1">
      <c r="A20" s="17">
        <v>59</v>
      </c>
      <c r="B20" s="9">
        <f t="shared" si="0"/>
        <v>19</v>
      </c>
      <c r="C20">
        <v>19</v>
      </c>
      <c r="D20" s="9" t="s">
        <v>202</v>
      </c>
      <c r="E20" s="9">
        <v>66809729</v>
      </c>
      <c r="F20" s="37">
        <v>25.428571428571427</v>
      </c>
      <c r="G20" s="20">
        <v>1</v>
      </c>
      <c r="H20" s="18">
        <v>45268</v>
      </c>
      <c r="I20" s="20">
        <f t="shared" si="1"/>
        <v>85</v>
      </c>
      <c r="J20" s="28" t="s">
        <v>543</v>
      </c>
      <c r="K20" s="9">
        <v>3</v>
      </c>
      <c r="L20" s="9">
        <v>2</v>
      </c>
      <c r="M20" s="18">
        <v>45183</v>
      </c>
      <c r="N20" s="17">
        <v>60384</v>
      </c>
      <c r="O20" s="45">
        <v>100</v>
      </c>
      <c r="P20" s="17">
        <v>5</v>
      </c>
      <c r="Q20" s="17">
        <v>2</v>
      </c>
      <c r="R20" s="18">
        <v>45334</v>
      </c>
      <c r="S20" s="9">
        <v>2</v>
      </c>
      <c r="T20" s="9">
        <v>37</v>
      </c>
      <c r="U20" s="9">
        <v>66</v>
      </c>
      <c r="V20" s="9">
        <v>103</v>
      </c>
      <c r="W20" s="9">
        <v>3</v>
      </c>
      <c r="X20" s="9">
        <v>9</v>
      </c>
      <c r="Y20" s="9">
        <v>5</v>
      </c>
      <c r="Z20" s="9">
        <v>38</v>
      </c>
      <c r="AA20" s="9">
        <v>1</v>
      </c>
      <c r="AB20" s="9">
        <v>1</v>
      </c>
      <c r="AC20" s="9">
        <v>2</v>
      </c>
      <c r="AD20" s="9">
        <v>3</v>
      </c>
      <c r="AE20" s="9">
        <v>1</v>
      </c>
      <c r="AF20" s="9">
        <v>1</v>
      </c>
      <c r="AG20" s="9">
        <v>1</v>
      </c>
      <c r="AH20" s="9">
        <v>1</v>
      </c>
      <c r="AI20" s="9">
        <v>1</v>
      </c>
      <c r="AJ20" s="9">
        <v>1</v>
      </c>
      <c r="AK20" s="9">
        <v>1</v>
      </c>
      <c r="AL20" s="9">
        <v>36</v>
      </c>
      <c r="AM20" s="9">
        <v>1</v>
      </c>
      <c r="AN20" s="9">
        <v>1</v>
      </c>
      <c r="AO20" s="9">
        <v>1</v>
      </c>
      <c r="AP20" s="9" t="s">
        <v>420</v>
      </c>
      <c r="AQ20" s="9" t="s">
        <v>421</v>
      </c>
      <c r="AR20" s="9" t="s">
        <v>422</v>
      </c>
      <c r="AS20" s="9">
        <v>1</v>
      </c>
      <c r="AT20" s="9">
        <v>2</v>
      </c>
      <c r="AU20" s="9">
        <v>1</v>
      </c>
      <c r="AV20" s="9">
        <v>47</v>
      </c>
      <c r="AW20" s="9">
        <v>6</v>
      </c>
      <c r="AX20" s="37">
        <f t="shared" si="2"/>
        <v>47.857142857142854</v>
      </c>
      <c r="AY20" s="9">
        <v>920</v>
      </c>
      <c r="AZ20" s="9">
        <v>1</v>
      </c>
      <c r="BA20" s="9">
        <v>4</v>
      </c>
      <c r="BB20" s="9">
        <v>31</v>
      </c>
      <c r="BC20" s="9">
        <v>3</v>
      </c>
      <c r="BD20" s="9">
        <v>23</v>
      </c>
      <c r="BE20" s="9">
        <v>4</v>
      </c>
      <c r="BF20" s="9">
        <v>5010</v>
      </c>
      <c r="BH20" s="9">
        <v>56</v>
      </c>
      <c r="BJ20" s="9">
        <v>38</v>
      </c>
      <c r="BL20" s="9">
        <v>1</v>
      </c>
      <c r="BN20" s="9">
        <v>2</v>
      </c>
      <c r="BO20" s="9">
        <v>3</v>
      </c>
      <c r="BP20" s="9">
        <v>1</v>
      </c>
      <c r="BR20" s="9">
        <v>1</v>
      </c>
      <c r="BS20" s="9">
        <v>1</v>
      </c>
      <c r="BT20" s="18">
        <v>45183</v>
      </c>
      <c r="BU20" s="18">
        <v>45345</v>
      </c>
      <c r="BV20" s="9">
        <v>2</v>
      </c>
      <c r="BW20" s="9">
        <v>2</v>
      </c>
      <c r="BX20" s="9">
        <v>1</v>
      </c>
      <c r="BY20" s="9">
        <v>2</v>
      </c>
      <c r="BZ20" s="9">
        <v>25</v>
      </c>
      <c r="CA20" s="9">
        <v>2</v>
      </c>
      <c r="CB20" s="18">
        <v>45183</v>
      </c>
      <c r="CC20" s="18">
        <v>45257</v>
      </c>
      <c r="CD20" s="9">
        <v>75</v>
      </c>
      <c r="CE20" s="49">
        <v>0.248636497366615</v>
      </c>
      <c r="CF20" s="49">
        <v>0.20987755586332499</v>
      </c>
      <c r="CG20" s="49">
        <v>0.22761714651685999</v>
      </c>
      <c r="CH20" s="49">
        <v>0.21715282948663001</v>
      </c>
      <c r="CI20" s="49">
        <v>0.35005697782169798</v>
      </c>
      <c r="CJ20" s="49">
        <v>0.38373534439587798</v>
      </c>
      <c r="CK20" s="49">
        <v>0.34619357440815501</v>
      </c>
      <c r="CL20" s="49">
        <v>0.371617172765149</v>
      </c>
      <c r="CM20" s="49">
        <v>0.226745410141941</v>
      </c>
      <c r="CN20" s="49">
        <v>0.32531963303148898</v>
      </c>
      <c r="CO20" s="49">
        <v>0.28605691765320901</v>
      </c>
      <c r="CP20" s="49">
        <v>0.21769379213460599</v>
      </c>
      <c r="CQ20" s="49">
        <v>0.51608835491711402</v>
      </c>
      <c r="CR20" s="49">
        <v>0.50769624851076101</v>
      </c>
      <c r="CS20" s="49">
        <v>0.52738109956221002</v>
      </c>
      <c r="CT20" s="49">
        <v>0.49092711372248699</v>
      </c>
      <c r="CU20" s="49">
        <v>0.56878787878787895</v>
      </c>
      <c r="CV20" s="49">
        <v>0.64074074074074105</v>
      </c>
      <c r="CW20" s="49">
        <v>0.59090909090909105</v>
      </c>
      <c r="CX20" s="49">
        <v>0.58939393939394003</v>
      </c>
      <c r="CY20" s="49">
        <v>0.844444444444444</v>
      </c>
      <c r="CZ20" s="49">
        <v>0.77272727272727304</v>
      </c>
      <c r="DA20" s="49">
        <v>0.84074074074074101</v>
      </c>
      <c r="DB20" s="49">
        <v>0.77575757575757598</v>
      </c>
      <c r="DC20" s="49">
        <v>0.35881283399959202</v>
      </c>
      <c r="DD20" s="49">
        <v>0.57500211386024003</v>
      </c>
      <c r="DE20" s="49">
        <v>0.52031952179770702</v>
      </c>
      <c r="DF20" s="49">
        <v>0.417556443009999</v>
      </c>
      <c r="DG20" s="49">
        <v>0.72361314439037905</v>
      </c>
      <c r="DH20" s="49">
        <v>0.72028655037462497</v>
      </c>
      <c r="DI20" s="49">
        <v>0.74489801075709905</v>
      </c>
      <c r="DJ20" s="49">
        <v>0.72263136004063799</v>
      </c>
      <c r="DK20" s="49">
        <v>0.33846153846153898</v>
      </c>
      <c r="DL20" s="49">
        <v>0.49633699633699602</v>
      </c>
      <c r="DM20" s="49">
        <v>0.42857142857142899</v>
      </c>
      <c r="DN20" s="49">
        <v>0.36813186813186799</v>
      </c>
      <c r="DO20" s="49">
        <v>0.54810744810744805</v>
      </c>
      <c r="DP20" s="49">
        <v>0.62069597069597104</v>
      </c>
      <c r="DQ20" s="49">
        <v>0.65128205128205097</v>
      </c>
      <c r="DR20" s="49">
        <v>0.61941391941391899</v>
      </c>
      <c r="DS20" s="49">
        <v>2.25454545454545</v>
      </c>
      <c r="DT20" s="49">
        <v>1.86666666666667</v>
      </c>
      <c r="DU20" s="49">
        <v>2.0545454545454498</v>
      </c>
      <c r="DV20" s="49">
        <v>2.0727272727272701</v>
      </c>
      <c r="DW20" s="49">
        <v>1.31111111111111</v>
      </c>
      <c r="DX20" s="49">
        <v>1.4909090909090901</v>
      </c>
      <c r="DY20" s="49">
        <v>1.3333333333333299</v>
      </c>
      <c r="DZ20" s="49">
        <v>1.47272727272727</v>
      </c>
      <c r="EA20" s="49">
        <v>37.6052764057888</v>
      </c>
      <c r="EB20" s="49">
        <v>8.7484649578128604</v>
      </c>
      <c r="EC20" s="49">
        <v>3.7127112333324401</v>
      </c>
      <c r="ED20" s="49">
        <v>2.2507708075908202</v>
      </c>
      <c r="EE20" s="49">
        <v>174.09692271318099</v>
      </c>
      <c r="EF20" s="49">
        <v>63.4304297496572</v>
      </c>
      <c r="EG20" s="49">
        <v>17.940839830087199</v>
      </c>
      <c r="EH20" s="49">
        <v>7.1715902481080498</v>
      </c>
      <c r="EI20" s="49">
        <v>4.1483046125643002</v>
      </c>
      <c r="EJ20" s="49">
        <v>261.81324653382001</v>
      </c>
      <c r="EK20" s="49">
        <v>0.21600195925198701</v>
      </c>
      <c r="EL20" s="49">
        <v>5.02505433265222E-2</v>
      </c>
      <c r="EM20" s="49">
        <v>2.1325541976689701E-2</v>
      </c>
      <c r="EN20" s="49">
        <v>1.2928263018748999E-2</v>
      </c>
      <c r="EO20" s="49">
        <v>0.24227356938360001</v>
      </c>
      <c r="EP20" s="49">
        <v>6.8525332723260807E-2</v>
      </c>
      <c r="EQ20" s="49">
        <v>2.7392006871514999E-2</v>
      </c>
      <c r="ER20" s="49">
        <v>1.5844517676184201E-2</v>
      </c>
    </row>
    <row r="21" spans="1:148" ht="28" customHeight="1">
      <c r="A21" s="17">
        <v>64</v>
      </c>
      <c r="B21" s="9">
        <f t="shared" si="0"/>
        <v>20</v>
      </c>
      <c r="C21">
        <v>20</v>
      </c>
      <c r="D21" s="9" t="s">
        <v>209</v>
      </c>
      <c r="E21" s="9" t="s">
        <v>227</v>
      </c>
      <c r="F21" s="37">
        <v>33.714285714285715</v>
      </c>
      <c r="G21" s="20">
        <v>3</v>
      </c>
      <c r="H21" s="18">
        <v>45282</v>
      </c>
      <c r="I21" s="20">
        <f t="shared" si="1"/>
        <v>25</v>
      </c>
      <c r="J21" s="28" t="s">
        <v>537</v>
      </c>
      <c r="K21" s="9">
        <v>3</v>
      </c>
      <c r="L21" s="9">
        <v>2</v>
      </c>
      <c r="M21" s="18">
        <v>45257</v>
      </c>
      <c r="N21" s="17">
        <v>9016</v>
      </c>
      <c r="O21" s="45">
        <v>67.169476486246666</v>
      </c>
      <c r="P21" s="17">
        <v>4</v>
      </c>
      <c r="Q21" s="17">
        <v>2</v>
      </c>
      <c r="R21" s="18">
        <v>45286</v>
      </c>
      <c r="S21" s="9">
        <v>2</v>
      </c>
      <c r="T21" s="9">
        <v>0</v>
      </c>
      <c r="U21" s="9">
        <v>10</v>
      </c>
      <c r="V21" s="9">
        <v>10</v>
      </c>
      <c r="W21" s="9">
        <v>9</v>
      </c>
      <c r="X21" s="9">
        <v>7</v>
      </c>
      <c r="Y21" s="9">
        <v>10</v>
      </c>
      <c r="Z21" s="9">
        <v>6</v>
      </c>
      <c r="AA21" s="9">
        <v>2</v>
      </c>
      <c r="AB21" s="9">
        <v>1</v>
      </c>
      <c r="AC21" s="9">
        <v>8</v>
      </c>
      <c r="AD21" s="9">
        <v>10</v>
      </c>
      <c r="AE21" s="9">
        <v>1</v>
      </c>
      <c r="AF21" s="9">
        <v>2</v>
      </c>
      <c r="AG21" s="9">
        <v>2</v>
      </c>
      <c r="AH21" s="9">
        <v>2</v>
      </c>
      <c r="AI21" s="9">
        <v>2</v>
      </c>
      <c r="AJ21" s="9">
        <v>1</v>
      </c>
      <c r="AK21" s="9">
        <v>1</v>
      </c>
      <c r="AL21" s="9">
        <v>31</v>
      </c>
      <c r="AM21" s="9">
        <v>3</v>
      </c>
      <c r="AN21" s="9">
        <v>1</v>
      </c>
      <c r="AO21" s="9" t="s">
        <v>446</v>
      </c>
      <c r="AP21" s="9" t="s">
        <v>447</v>
      </c>
      <c r="AQ21" s="9" t="s">
        <v>449</v>
      </c>
      <c r="AR21" s="9" t="s">
        <v>448</v>
      </c>
      <c r="AS21" s="9">
        <v>1</v>
      </c>
      <c r="AT21" s="9">
        <v>2</v>
      </c>
      <c r="AU21" s="9">
        <v>1</v>
      </c>
      <c r="AV21" s="9">
        <v>40</v>
      </c>
      <c r="AW21" s="9">
        <v>3</v>
      </c>
      <c r="AX21" s="37">
        <f t="shared" si="2"/>
        <v>40.428571428571431</v>
      </c>
      <c r="AY21" s="9">
        <v>1360</v>
      </c>
      <c r="AZ21" s="9">
        <v>2</v>
      </c>
      <c r="BA21" s="9">
        <v>2</v>
      </c>
      <c r="BB21" s="9">
        <v>41</v>
      </c>
      <c r="BC21" s="9">
        <v>3</v>
      </c>
      <c r="BD21" s="9">
        <v>29</v>
      </c>
      <c r="BE21" s="9">
        <v>3</v>
      </c>
      <c r="BF21" s="9">
        <v>2125</v>
      </c>
      <c r="BG21" s="9">
        <v>2</v>
      </c>
      <c r="BH21" s="9">
        <v>46</v>
      </c>
      <c r="BI21" s="9">
        <v>1</v>
      </c>
      <c r="BJ21" s="9">
        <v>32</v>
      </c>
      <c r="BK21" s="9">
        <v>2</v>
      </c>
      <c r="BL21" s="9">
        <v>1</v>
      </c>
      <c r="BN21" s="9">
        <v>2</v>
      </c>
      <c r="BO21" s="9">
        <v>1</v>
      </c>
      <c r="BP21" s="9">
        <v>1</v>
      </c>
      <c r="BR21" s="9">
        <v>1</v>
      </c>
      <c r="BS21" s="9">
        <v>1</v>
      </c>
      <c r="BT21" s="18">
        <v>45257</v>
      </c>
      <c r="BU21" s="18">
        <v>45304</v>
      </c>
      <c r="BV21" s="9">
        <v>1</v>
      </c>
      <c r="BW21" s="9">
        <v>1</v>
      </c>
      <c r="BX21" s="9">
        <v>0</v>
      </c>
      <c r="BY21" s="9">
        <v>1</v>
      </c>
      <c r="BZ21" s="9">
        <v>0</v>
      </c>
      <c r="CA21" s="9">
        <v>1</v>
      </c>
      <c r="CB21" s="18">
        <v>45257</v>
      </c>
      <c r="CC21" s="18">
        <v>45257</v>
      </c>
      <c r="CD21" s="9">
        <v>1</v>
      </c>
      <c r="CE21" s="49">
        <v>0.30660099139478397</v>
      </c>
      <c r="CF21" s="49">
        <v>0.17709092385588801</v>
      </c>
      <c r="CG21" s="49">
        <v>0.17250162355504001</v>
      </c>
      <c r="CH21" s="49">
        <v>0.21942465259746999</v>
      </c>
      <c r="CI21" s="49">
        <v>0.432638926490237</v>
      </c>
      <c r="CJ21" s="49">
        <v>0.34249093996040197</v>
      </c>
      <c r="CK21" s="49">
        <v>0.32577339443206699</v>
      </c>
      <c r="CL21" s="49">
        <v>0.30688092568005199</v>
      </c>
      <c r="CM21" s="49">
        <v>0.172234774663553</v>
      </c>
      <c r="CN21" s="49">
        <v>0.34285494717564602</v>
      </c>
      <c r="CO21" s="49">
        <v>0.25754873443209803</v>
      </c>
      <c r="CP21" s="49">
        <v>0.296923297172902</v>
      </c>
      <c r="CQ21" s="49">
        <v>0.642100550049299</v>
      </c>
      <c r="CR21" s="49">
        <v>0.418842116437599</v>
      </c>
      <c r="CS21" s="49">
        <v>0.430157680509969</v>
      </c>
      <c r="CT21" s="49">
        <v>0.39230915563871799</v>
      </c>
      <c r="CU21" s="49">
        <v>0.56787878787878798</v>
      </c>
      <c r="CV21" s="49">
        <v>0.81333333333333302</v>
      </c>
      <c r="CW21" s="49">
        <v>0.82</v>
      </c>
      <c r="CX21" s="49">
        <v>0.58550724637681195</v>
      </c>
      <c r="CY21" s="49">
        <v>0.705808080808081</v>
      </c>
      <c r="CZ21" s="49">
        <v>0.69949494949494895</v>
      </c>
      <c r="DA21" s="49">
        <v>0.70454545454545503</v>
      </c>
      <c r="DB21" s="49">
        <v>0.69444444444444497</v>
      </c>
      <c r="DC21" s="49">
        <v>0.21762566799918501</v>
      </c>
      <c r="DD21" s="49">
        <v>0.51128428578603002</v>
      </c>
      <c r="DE21" s="49">
        <v>0.39462950740964498</v>
      </c>
      <c r="DF21" s="49">
        <v>0.47072126802881298</v>
      </c>
      <c r="DG21" s="49">
        <v>0.88310846798590903</v>
      </c>
      <c r="DH21" s="49">
        <v>0.71851405914642197</v>
      </c>
      <c r="DI21" s="49">
        <v>0.76916774315712999</v>
      </c>
      <c r="DJ21" s="49">
        <v>0.75046845054314304</v>
      </c>
      <c r="DK21" s="49">
        <v>0.17692307692307699</v>
      </c>
      <c r="DL21" s="49">
        <v>0.41794871794871802</v>
      </c>
      <c r="DM21" s="49">
        <v>0.36410256410256397</v>
      </c>
      <c r="DN21" s="49">
        <v>0.37179487179487197</v>
      </c>
      <c r="DO21" s="49">
        <v>0.74358974358974395</v>
      </c>
      <c r="DP21" s="49">
        <v>0.60183150183150202</v>
      </c>
      <c r="DQ21" s="49">
        <v>0.64322344322344305</v>
      </c>
      <c r="DR21" s="49">
        <v>0.65989010989010999</v>
      </c>
      <c r="DS21" s="49">
        <v>2.2727272727272698</v>
      </c>
      <c r="DT21" s="49">
        <v>1.4</v>
      </c>
      <c r="DU21" s="49">
        <v>1.36</v>
      </c>
      <c r="DV21" s="49">
        <v>2.3695652173913002</v>
      </c>
      <c r="DW21" s="49">
        <v>1.7121212121212099</v>
      </c>
      <c r="DX21" s="49">
        <v>1.75757575757576</v>
      </c>
      <c r="DY21" s="49">
        <v>1.72727272727273</v>
      </c>
      <c r="DZ21" s="49">
        <v>1.7878787878787901</v>
      </c>
      <c r="EA21" s="49">
        <v>58.768436424995997</v>
      </c>
      <c r="EB21" s="49">
        <v>23.2821226100553</v>
      </c>
      <c r="EC21" s="49">
        <v>9.7560274077917306</v>
      </c>
      <c r="ED21" s="49">
        <v>4.4254496000697197</v>
      </c>
      <c r="EE21" s="49">
        <v>304.06143999728499</v>
      </c>
      <c r="EF21" s="49">
        <v>68.326464539809805</v>
      </c>
      <c r="EG21" s="49">
        <v>24.185735531681399</v>
      </c>
      <c r="EH21" s="49">
        <v>9.9522292472040608</v>
      </c>
      <c r="EI21" s="49">
        <v>5.0954519545526598</v>
      </c>
      <c r="EJ21" s="49">
        <v>333.612070506029</v>
      </c>
      <c r="EK21" s="49">
        <v>0.19327816255004501</v>
      </c>
      <c r="EL21" s="49">
        <v>7.65704543471976E-2</v>
      </c>
      <c r="EM21" s="49">
        <v>3.2085710729643398E-2</v>
      </c>
      <c r="EN21" s="49">
        <v>1.45544584677006E-2</v>
      </c>
      <c r="EO21" s="49">
        <v>0.204808130701539</v>
      </c>
      <c r="EP21" s="49">
        <v>7.24965841163841E-2</v>
      </c>
      <c r="EQ21" s="49">
        <v>2.98317420952675E-2</v>
      </c>
      <c r="ER21" s="49">
        <v>1.5273583916864199E-2</v>
      </c>
    </row>
    <row r="22" spans="1:148" ht="28" customHeight="1">
      <c r="A22" s="9">
        <v>35</v>
      </c>
      <c r="B22" s="9">
        <f t="shared" si="0"/>
        <v>21</v>
      </c>
      <c r="C22">
        <v>21</v>
      </c>
      <c r="D22" s="26" t="s">
        <v>187</v>
      </c>
      <c r="E22" s="9">
        <v>67160854</v>
      </c>
      <c r="F22" s="37">
        <v>30.285714285714285</v>
      </c>
      <c r="G22" s="9">
        <v>2</v>
      </c>
      <c r="H22" s="20" t="s">
        <v>36</v>
      </c>
      <c r="I22" s="20">
        <f t="shared" si="1"/>
        <v>49</v>
      </c>
      <c r="J22" s="20" t="s">
        <v>537</v>
      </c>
      <c r="K22" s="9">
        <v>3</v>
      </c>
      <c r="L22" s="9">
        <v>2</v>
      </c>
      <c r="M22" s="20" t="s">
        <v>32</v>
      </c>
      <c r="N22" s="17">
        <v>9742</v>
      </c>
      <c r="O22" s="45">
        <v>99.958940669267093</v>
      </c>
      <c r="P22" s="17">
        <v>5</v>
      </c>
      <c r="Q22" s="17">
        <v>2</v>
      </c>
      <c r="R22" s="18">
        <v>45549</v>
      </c>
      <c r="S22" s="9">
        <v>2</v>
      </c>
      <c r="T22" s="9">
        <v>6</v>
      </c>
      <c r="U22" s="9">
        <v>32</v>
      </c>
      <c r="V22" s="9">
        <v>38</v>
      </c>
      <c r="W22" s="9">
        <v>13</v>
      </c>
      <c r="X22" s="9">
        <v>8</v>
      </c>
      <c r="Y22" s="9">
        <v>3</v>
      </c>
      <c r="Z22" s="9">
        <v>16</v>
      </c>
      <c r="AA22" s="9">
        <v>2</v>
      </c>
      <c r="AB22" s="9">
        <v>2</v>
      </c>
      <c r="AC22" s="9">
        <v>9</v>
      </c>
      <c r="AD22" s="9">
        <v>10</v>
      </c>
      <c r="AE22" s="9">
        <v>1</v>
      </c>
      <c r="AF22" s="9">
        <v>2</v>
      </c>
      <c r="AG22" s="9">
        <v>2</v>
      </c>
      <c r="AH22" s="9">
        <v>2</v>
      </c>
      <c r="AI22" s="9">
        <v>2</v>
      </c>
      <c r="AJ22" s="9">
        <v>2</v>
      </c>
      <c r="AK22" s="9">
        <v>1</v>
      </c>
      <c r="AL22" s="9">
        <v>40</v>
      </c>
      <c r="AM22" s="9">
        <v>2</v>
      </c>
      <c r="AN22" s="9">
        <v>1</v>
      </c>
      <c r="AO22" s="17" t="s">
        <v>338</v>
      </c>
      <c r="AP22" s="31" t="s">
        <v>385</v>
      </c>
      <c r="AQ22" s="9" t="s">
        <v>339</v>
      </c>
      <c r="AR22" s="9" t="s">
        <v>175</v>
      </c>
      <c r="AS22" s="9">
        <v>1</v>
      </c>
      <c r="AT22" s="9">
        <v>2</v>
      </c>
      <c r="AU22" s="9">
        <v>1</v>
      </c>
      <c r="AV22" s="9">
        <v>37</v>
      </c>
      <c r="AW22" s="9">
        <v>6</v>
      </c>
      <c r="AX22" s="37">
        <f t="shared" si="2"/>
        <v>37.857142857142854</v>
      </c>
      <c r="AY22" s="9">
        <v>1375</v>
      </c>
      <c r="AZ22" s="9">
        <v>2</v>
      </c>
      <c r="BA22" s="9">
        <v>3</v>
      </c>
      <c r="BB22" s="9">
        <v>39</v>
      </c>
      <c r="BC22" s="9">
        <v>3</v>
      </c>
      <c r="BD22" s="9">
        <v>31</v>
      </c>
      <c r="BE22" s="9">
        <v>3</v>
      </c>
      <c r="BF22" s="9">
        <v>2130</v>
      </c>
      <c r="BG22" s="9">
        <v>1</v>
      </c>
      <c r="BH22" s="9">
        <v>46</v>
      </c>
      <c r="BI22" s="9">
        <v>2</v>
      </c>
      <c r="BJ22" s="9">
        <v>31</v>
      </c>
      <c r="BK22" s="9">
        <v>2</v>
      </c>
      <c r="BL22" s="9">
        <v>2</v>
      </c>
      <c r="BN22" s="9">
        <v>2</v>
      </c>
      <c r="BO22" s="9">
        <v>2</v>
      </c>
      <c r="BP22" s="9">
        <v>1</v>
      </c>
      <c r="BR22" s="9">
        <v>1</v>
      </c>
      <c r="BS22" s="9">
        <v>1</v>
      </c>
      <c r="BT22" s="42">
        <v>45504</v>
      </c>
      <c r="BU22" s="18">
        <v>45558</v>
      </c>
      <c r="BV22" s="9">
        <v>1</v>
      </c>
      <c r="BW22" s="9">
        <v>1</v>
      </c>
      <c r="BX22" s="9">
        <v>0</v>
      </c>
      <c r="BY22" s="9">
        <v>2</v>
      </c>
      <c r="BZ22" s="9">
        <v>30</v>
      </c>
      <c r="CA22" s="9">
        <v>1</v>
      </c>
      <c r="CB22" s="18">
        <v>45504</v>
      </c>
      <c r="CC22" s="18">
        <v>45528</v>
      </c>
      <c r="CD22" s="9">
        <v>25</v>
      </c>
      <c r="CE22" s="49">
        <v>0.22002207107673899</v>
      </c>
      <c r="CF22" s="49">
        <v>0.171878054231383</v>
      </c>
      <c r="CG22" s="49">
        <v>0.17173567086243099</v>
      </c>
      <c r="CH22" s="49">
        <v>0.22164481270936501</v>
      </c>
      <c r="CI22" s="49">
        <v>0.41687159051977701</v>
      </c>
      <c r="CJ22" s="49">
        <v>0.388690778015859</v>
      </c>
      <c r="CK22" s="49">
        <v>0.34635767800531397</v>
      </c>
      <c r="CL22" s="49">
        <v>0.34233033411156299</v>
      </c>
      <c r="CM22" s="49">
        <v>0.33924707061659798</v>
      </c>
      <c r="CN22" s="49">
        <v>0.37293462687263002</v>
      </c>
      <c r="CO22" s="49">
        <v>0.38742596944763702</v>
      </c>
      <c r="CP22" s="49">
        <v>0.36223579441249498</v>
      </c>
      <c r="CQ22" s="49">
        <v>0.59804840896397504</v>
      </c>
      <c r="CR22" s="49">
        <v>0.428225343843609</v>
      </c>
      <c r="CS22" s="49">
        <v>0.47262807101807403</v>
      </c>
      <c r="CT22" s="49">
        <v>0.46769052825038299</v>
      </c>
      <c r="CU22" s="49">
        <v>0.72988505747126398</v>
      </c>
      <c r="CV22" s="49">
        <v>0.97058823529411797</v>
      </c>
      <c r="CW22" s="49">
        <v>1</v>
      </c>
      <c r="CX22" s="49">
        <v>0.74702380952380898</v>
      </c>
      <c r="CY22" s="49">
        <v>0.71212121212121204</v>
      </c>
      <c r="CZ22" s="49">
        <v>0.68560606060606</v>
      </c>
      <c r="DA22" s="49">
        <v>0.83695652173913104</v>
      </c>
      <c r="DB22" s="49">
        <v>0.844444444444444</v>
      </c>
      <c r="DC22" s="49">
        <v>0.41355540889157399</v>
      </c>
      <c r="DD22" s="49">
        <v>0.45519078541489499</v>
      </c>
      <c r="DE22" s="49">
        <v>0.46153846153846201</v>
      </c>
      <c r="DF22" s="49">
        <v>0.424421554645665</v>
      </c>
      <c r="DG22" s="49">
        <v>0.86828106818940198</v>
      </c>
      <c r="DH22" s="49">
        <v>0.60969914706130801</v>
      </c>
      <c r="DI22" s="49">
        <v>0.66435684191998801</v>
      </c>
      <c r="DJ22" s="49">
        <v>0.66312286354974004</v>
      </c>
      <c r="DK22" s="49">
        <v>0.37692307692307703</v>
      </c>
      <c r="DL22" s="49">
        <v>0.43076923076923102</v>
      </c>
      <c r="DM22" s="49">
        <v>0.46153846153846201</v>
      </c>
      <c r="DN22" s="49">
        <v>0.4</v>
      </c>
      <c r="DO22" s="49">
        <v>0.69981684981685</v>
      </c>
      <c r="DP22" s="49">
        <v>0.55702075702075704</v>
      </c>
      <c r="DQ22" s="49">
        <v>0.62362637362637396</v>
      </c>
      <c r="DR22" s="49">
        <v>0.61660561660561697</v>
      </c>
      <c r="DS22" s="49">
        <v>1.7586206896551699</v>
      </c>
      <c r="DT22" s="49">
        <v>1.0588235294117601</v>
      </c>
      <c r="DU22" s="49">
        <v>1</v>
      </c>
      <c r="DV22" s="49">
        <v>1.6785714285714299</v>
      </c>
      <c r="DW22" s="49">
        <v>1.6666666666666701</v>
      </c>
      <c r="DX22" s="49">
        <v>1.87878787878788</v>
      </c>
      <c r="DY22" s="49">
        <v>1.3260869565217399</v>
      </c>
      <c r="DZ22" s="49">
        <v>1.31111111111111</v>
      </c>
      <c r="EA22" s="49">
        <v>43.361188451332801</v>
      </c>
      <c r="EB22" s="49">
        <v>17.4397415796453</v>
      </c>
      <c r="EC22" s="49">
        <v>6.7026100473326</v>
      </c>
      <c r="ED22" s="49">
        <v>3.0827028453737499</v>
      </c>
      <c r="EE22" s="49">
        <v>205.888209296284</v>
      </c>
      <c r="EF22" s="49">
        <v>40.175065697713997</v>
      </c>
      <c r="EG22" s="49">
        <v>14.4245938304259</v>
      </c>
      <c r="EH22" s="49">
        <v>7.2008285734595301</v>
      </c>
      <c r="EI22" s="49">
        <v>3.9907972836975101</v>
      </c>
      <c r="EJ22" s="49">
        <v>214.646550424335</v>
      </c>
      <c r="EK22" s="49">
        <v>0.21060549605797901</v>
      </c>
      <c r="EL22" s="49">
        <v>8.47049067999259E-2</v>
      </c>
      <c r="EM22" s="49">
        <v>3.2554608494783699E-2</v>
      </c>
      <c r="EN22" s="49">
        <v>1.49727022052904E-2</v>
      </c>
      <c r="EO22" s="49">
        <v>0.18716846657117001</v>
      </c>
      <c r="EP22" s="49">
        <v>6.7201610284022398E-2</v>
      </c>
      <c r="EQ22" s="49">
        <v>3.3547376182958499E-2</v>
      </c>
      <c r="ER22" s="49">
        <v>1.8592412856428899E-2</v>
      </c>
    </row>
    <row r="23" spans="1:148" ht="41.5" customHeight="1">
      <c r="A23" s="17">
        <v>63</v>
      </c>
      <c r="B23" s="9">
        <f t="shared" si="0"/>
        <v>22</v>
      </c>
      <c r="C23">
        <v>22</v>
      </c>
      <c r="D23" s="9" t="s">
        <v>205</v>
      </c>
      <c r="E23" s="9" t="s">
        <v>224</v>
      </c>
      <c r="F23" s="37">
        <v>29.714285714285715</v>
      </c>
      <c r="G23" s="9">
        <v>2</v>
      </c>
      <c r="H23" s="18">
        <v>45301</v>
      </c>
      <c r="I23" s="20">
        <f t="shared" si="1"/>
        <v>62</v>
      </c>
      <c r="J23" s="28" t="s">
        <v>544</v>
      </c>
      <c r="K23" s="9">
        <v>3</v>
      </c>
      <c r="L23" s="9">
        <v>2</v>
      </c>
      <c r="M23" s="18">
        <v>45239</v>
      </c>
      <c r="N23" s="17">
        <v>14480</v>
      </c>
      <c r="O23" s="45">
        <v>58.287292817679557</v>
      </c>
      <c r="P23" s="17">
        <v>4</v>
      </c>
      <c r="Q23" s="17">
        <v>2</v>
      </c>
      <c r="R23" s="18">
        <v>45300</v>
      </c>
      <c r="S23" s="9">
        <v>2</v>
      </c>
      <c r="T23" s="9">
        <v>4</v>
      </c>
      <c r="U23" s="9">
        <v>57</v>
      </c>
      <c r="V23" s="9">
        <v>61</v>
      </c>
      <c r="W23" s="9">
        <v>5</v>
      </c>
      <c r="X23" s="9">
        <v>10</v>
      </c>
      <c r="Y23" s="9">
        <v>4</v>
      </c>
      <c r="Z23" s="9">
        <v>8</v>
      </c>
      <c r="AA23" s="9">
        <v>2</v>
      </c>
      <c r="AB23" s="9">
        <v>1</v>
      </c>
      <c r="AC23" s="9">
        <v>8</v>
      </c>
      <c r="AD23" s="9">
        <v>9</v>
      </c>
      <c r="AE23" s="9">
        <v>4</v>
      </c>
      <c r="AF23" s="9">
        <v>2</v>
      </c>
      <c r="AG23" s="9">
        <v>1</v>
      </c>
      <c r="AH23" s="9">
        <v>1</v>
      </c>
      <c r="AI23" s="9">
        <v>1</v>
      </c>
      <c r="AJ23" s="9">
        <v>1</v>
      </c>
      <c r="AK23" s="9">
        <v>1</v>
      </c>
      <c r="AL23" s="9">
        <v>30</v>
      </c>
      <c r="AM23" s="9">
        <v>2</v>
      </c>
      <c r="AN23" s="9">
        <v>1</v>
      </c>
      <c r="AO23" s="9" t="s">
        <v>430</v>
      </c>
      <c r="AP23" s="9" t="s">
        <v>431</v>
      </c>
      <c r="AQ23" s="19" t="s">
        <v>432</v>
      </c>
      <c r="AR23" s="9" t="s">
        <v>433</v>
      </c>
      <c r="AS23" s="9">
        <v>1</v>
      </c>
      <c r="AT23" s="9">
        <v>2</v>
      </c>
      <c r="AV23" s="9">
        <v>39</v>
      </c>
      <c r="AW23" s="9">
        <v>0</v>
      </c>
      <c r="AX23" s="37">
        <f t="shared" si="2"/>
        <v>39</v>
      </c>
      <c r="AY23" s="9">
        <v>1450</v>
      </c>
      <c r="AZ23" s="9">
        <v>2</v>
      </c>
      <c r="BA23" s="9">
        <v>3</v>
      </c>
      <c r="BB23" s="9">
        <v>39</v>
      </c>
      <c r="BC23" s="9">
        <v>4</v>
      </c>
      <c r="BD23" s="9">
        <v>27</v>
      </c>
      <c r="BE23" s="9">
        <v>4</v>
      </c>
      <c r="BF23" s="9">
        <v>2900</v>
      </c>
      <c r="BG23" s="9">
        <v>3</v>
      </c>
      <c r="BH23" s="9">
        <v>50</v>
      </c>
      <c r="BI23" s="9">
        <v>4</v>
      </c>
      <c r="BJ23" s="9">
        <v>34</v>
      </c>
      <c r="BK23" s="9">
        <v>4</v>
      </c>
      <c r="BL23" s="9">
        <v>1</v>
      </c>
      <c r="BN23" s="9">
        <v>2</v>
      </c>
      <c r="BO23" s="9">
        <v>3</v>
      </c>
      <c r="BP23" s="9">
        <v>1</v>
      </c>
      <c r="BR23" s="9">
        <v>1</v>
      </c>
      <c r="BS23" s="9">
        <v>1</v>
      </c>
      <c r="BT23" s="18">
        <v>45239</v>
      </c>
      <c r="BU23" s="18">
        <v>45305</v>
      </c>
      <c r="BV23" s="9">
        <v>1</v>
      </c>
      <c r="BW23" s="9">
        <v>1</v>
      </c>
      <c r="BX23" s="9">
        <v>0</v>
      </c>
      <c r="BY23" s="9">
        <v>1</v>
      </c>
      <c r="BZ23" s="9">
        <v>0</v>
      </c>
      <c r="CA23" s="9">
        <v>1</v>
      </c>
      <c r="CB23" s="18">
        <v>45239</v>
      </c>
      <c r="CC23" s="18">
        <v>45275</v>
      </c>
      <c r="CD23" s="9">
        <v>37</v>
      </c>
      <c r="CE23" s="49">
        <v>0.27315392199475003</v>
      </c>
      <c r="CF23" s="49">
        <v>0.32829176049570202</v>
      </c>
      <c r="CG23" s="49">
        <v>0.36133344911611698</v>
      </c>
      <c r="CH23" s="49">
        <v>0.35271022415647202</v>
      </c>
      <c r="CI23" s="49">
        <v>0.469649922782504</v>
      </c>
      <c r="CJ23" s="49">
        <v>0.45572786001110699</v>
      </c>
      <c r="CK23" s="49">
        <v>0.45581520354809701</v>
      </c>
      <c r="CL23" s="49">
        <v>0.42782729182950602</v>
      </c>
      <c r="CM23" s="49">
        <v>0.29093207010920102</v>
      </c>
      <c r="CN23" s="49">
        <v>0.14053426465995</v>
      </c>
      <c r="CO23" s="49">
        <v>0.110359456021554</v>
      </c>
      <c r="CP23" s="49">
        <v>0.13960818050249801</v>
      </c>
      <c r="CQ23" s="49">
        <v>0.59568705505379305</v>
      </c>
      <c r="CR23" s="49">
        <v>0.47435687649897001</v>
      </c>
      <c r="CS23" s="49">
        <v>0.60951047772121103</v>
      </c>
      <c r="CT23" s="49">
        <v>0.57541300575810805</v>
      </c>
      <c r="CU23" s="49">
        <v>0.53035714285714297</v>
      </c>
      <c r="CV23" s="49">
        <v>0.45558608058608102</v>
      </c>
      <c r="CW23" s="49">
        <v>0.48504273504273498</v>
      </c>
      <c r="CX23" s="49">
        <v>0.48504273504273498</v>
      </c>
      <c r="CY23" s="49">
        <v>0.637820512820513</v>
      </c>
      <c r="CZ23" s="49">
        <v>0.670940170940171</v>
      </c>
      <c r="DA23" s="49">
        <v>0.66346153846153799</v>
      </c>
      <c r="DB23" s="49">
        <v>0.66346153846153799</v>
      </c>
      <c r="DC23" s="49">
        <v>0.39743589743589702</v>
      </c>
      <c r="DD23" s="49">
        <v>0.19230769230769201</v>
      </c>
      <c r="DE23" s="49">
        <v>0.145911558691696</v>
      </c>
      <c r="DF23" s="49">
        <v>0.19230769230769201</v>
      </c>
      <c r="DG23" s="49">
        <v>0.82564470994572103</v>
      </c>
      <c r="DH23" s="49">
        <v>0.68639896390731103</v>
      </c>
      <c r="DI23" s="49">
        <v>0.87868039058576797</v>
      </c>
      <c r="DJ23" s="49">
        <v>0.87868039058576797</v>
      </c>
      <c r="DK23" s="49">
        <v>0.39743589743589702</v>
      </c>
      <c r="DL23" s="49">
        <v>0.19230769230769201</v>
      </c>
      <c r="DM23" s="49">
        <v>0.115384615384615</v>
      </c>
      <c r="DN23" s="49">
        <v>0.19230769230769201</v>
      </c>
      <c r="DO23" s="49">
        <v>0.69871794871794901</v>
      </c>
      <c r="DP23" s="49">
        <v>0.49963369963370002</v>
      </c>
      <c r="DQ23" s="49">
        <v>0.63772893772893802</v>
      </c>
      <c r="DR23" s="49">
        <v>0.63772893772893802</v>
      </c>
      <c r="DS23" s="49">
        <v>2.6071428571428599</v>
      </c>
      <c r="DT23" s="49">
        <v>3.1410256410256401</v>
      </c>
      <c r="DU23" s="49">
        <v>2.6794871794871802</v>
      </c>
      <c r="DV23" s="49">
        <v>2.6794871794871802</v>
      </c>
      <c r="DW23" s="49">
        <v>2.02564102564103</v>
      </c>
      <c r="DX23" s="49">
        <v>1.7692307692307701</v>
      </c>
      <c r="DY23" s="49">
        <v>1.82051282051282</v>
      </c>
      <c r="DZ23" s="49">
        <v>1.82051282051282</v>
      </c>
      <c r="EA23" s="49">
        <v>33.2791221461679</v>
      </c>
      <c r="EB23" s="49">
        <v>11.4381180945438</v>
      </c>
      <c r="EC23" s="49">
        <v>4.1332815880162803</v>
      </c>
      <c r="ED23" s="49">
        <v>1.67792420062877</v>
      </c>
      <c r="EE23" s="49">
        <v>214.11612379032201</v>
      </c>
      <c r="EF23" s="49">
        <v>53.945396651684099</v>
      </c>
      <c r="EG23" s="49">
        <v>14.873960382094101</v>
      </c>
      <c r="EH23" s="49">
        <v>4.1801120087582602</v>
      </c>
      <c r="EI23" s="49">
        <v>1.9147642985045199</v>
      </c>
      <c r="EJ23" s="49">
        <v>249.496161065341</v>
      </c>
      <c r="EK23" s="49">
        <v>0.155425577285143</v>
      </c>
      <c r="EL23" s="49">
        <v>5.3420162349589302E-2</v>
      </c>
      <c r="EM23" s="49">
        <v>1.9303924967668001E-2</v>
      </c>
      <c r="EN23" s="49">
        <v>7.83651492902941E-3</v>
      </c>
      <c r="EO23" s="49">
        <v>0.216217341466654</v>
      </c>
      <c r="EP23" s="49">
        <v>5.9615988953829198E-2</v>
      </c>
      <c r="EQ23" s="49">
        <v>1.6754213735831899E-2</v>
      </c>
      <c r="ER23" s="49">
        <v>7.6745240901845597E-3</v>
      </c>
    </row>
    <row r="24" spans="1:148" ht="28" customHeight="1">
      <c r="A24" s="17">
        <v>79</v>
      </c>
      <c r="B24" s="9">
        <f t="shared" si="0"/>
        <v>23</v>
      </c>
      <c r="C24">
        <v>23</v>
      </c>
      <c r="D24" s="30" t="s">
        <v>223</v>
      </c>
      <c r="E24" s="9">
        <v>66865300</v>
      </c>
      <c r="F24" s="37">
        <v>29.142857142857142</v>
      </c>
      <c r="G24" s="9">
        <v>2</v>
      </c>
      <c r="H24" s="18">
        <v>45268</v>
      </c>
      <c r="I24" s="9">
        <f t="shared" si="1"/>
        <v>42</v>
      </c>
      <c r="J24" s="9" t="s">
        <v>507</v>
      </c>
      <c r="K24" s="9">
        <v>3</v>
      </c>
      <c r="L24" s="9">
        <v>2</v>
      </c>
      <c r="M24" s="18">
        <v>45226</v>
      </c>
      <c r="N24" s="17">
        <v>13716</v>
      </c>
      <c r="O24" s="45">
        <v>88.188976377952756</v>
      </c>
      <c r="P24" s="17">
        <v>5</v>
      </c>
      <c r="Q24" s="17">
        <v>2</v>
      </c>
      <c r="R24" s="18">
        <v>45281</v>
      </c>
      <c r="S24" s="9">
        <v>2</v>
      </c>
      <c r="T24" s="9">
        <v>17</v>
      </c>
      <c r="U24" s="9">
        <v>25</v>
      </c>
      <c r="V24" s="9">
        <v>42</v>
      </c>
      <c r="W24" s="9">
        <v>7</v>
      </c>
      <c r="X24" s="9">
        <v>13</v>
      </c>
      <c r="Y24" s="9">
        <v>7</v>
      </c>
      <c r="Z24" s="9">
        <v>9</v>
      </c>
      <c r="AA24" s="9">
        <v>1</v>
      </c>
      <c r="AB24" s="9">
        <v>1</v>
      </c>
      <c r="AC24" s="9">
        <v>10</v>
      </c>
      <c r="AD24" s="9">
        <v>10</v>
      </c>
      <c r="AE24" s="9">
        <v>1</v>
      </c>
      <c r="AF24" s="9">
        <v>2</v>
      </c>
      <c r="AG24" s="9">
        <v>1</v>
      </c>
      <c r="AH24" s="9">
        <v>2</v>
      </c>
      <c r="AI24" s="9">
        <v>1</v>
      </c>
      <c r="AJ24" s="9">
        <v>1</v>
      </c>
      <c r="AK24" s="9">
        <v>2</v>
      </c>
      <c r="AL24" s="9">
        <v>31</v>
      </c>
      <c r="AM24" s="9">
        <v>2</v>
      </c>
      <c r="AN24" s="9">
        <v>1</v>
      </c>
      <c r="AO24" s="9">
        <v>1</v>
      </c>
      <c r="AP24" s="9" t="s">
        <v>493</v>
      </c>
      <c r="AQ24" s="9" t="s">
        <v>494</v>
      </c>
      <c r="AR24" s="9" t="s">
        <v>495</v>
      </c>
      <c r="AS24" s="9">
        <v>1</v>
      </c>
      <c r="AT24" s="9">
        <v>2</v>
      </c>
      <c r="AU24" s="9">
        <v>1</v>
      </c>
      <c r="AV24" s="9">
        <v>37</v>
      </c>
      <c r="AW24" s="9">
        <v>1</v>
      </c>
      <c r="AX24" s="37">
        <f t="shared" si="2"/>
        <v>37.142857142857146</v>
      </c>
      <c r="AY24" s="9">
        <v>1060</v>
      </c>
      <c r="AZ24" s="9">
        <v>2</v>
      </c>
      <c r="BA24" s="9">
        <v>3</v>
      </c>
      <c r="BB24" s="9">
        <v>38</v>
      </c>
      <c r="BC24" s="9">
        <v>3</v>
      </c>
      <c r="BD24" s="9">
        <v>26</v>
      </c>
      <c r="BE24" s="9">
        <v>3</v>
      </c>
      <c r="BF24" s="9">
        <v>2350</v>
      </c>
      <c r="BG24" s="9">
        <v>3</v>
      </c>
      <c r="BH24" s="9">
        <v>40</v>
      </c>
      <c r="BI24" s="9">
        <v>3</v>
      </c>
      <c r="BJ24" s="9">
        <v>28</v>
      </c>
      <c r="BK24" s="9">
        <v>3</v>
      </c>
      <c r="BL24" s="9">
        <v>1</v>
      </c>
      <c r="BN24" s="9">
        <v>2</v>
      </c>
      <c r="BO24" s="9">
        <v>2</v>
      </c>
      <c r="BP24" s="9">
        <v>1</v>
      </c>
      <c r="BR24" s="9">
        <v>1</v>
      </c>
      <c r="BS24" s="9">
        <v>2</v>
      </c>
      <c r="BT24" s="18">
        <v>45226</v>
      </c>
      <c r="BU24" s="18">
        <v>45284</v>
      </c>
      <c r="BV24" s="9">
        <v>2</v>
      </c>
      <c r="BW24" s="9">
        <v>2</v>
      </c>
      <c r="BX24" s="9">
        <v>12</v>
      </c>
      <c r="BY24" s="9">
        <v>1</v>
      </c>
      <c r="BZ24" s="9">
        <v>0</v>
      </c>
      <c r="CA24" s="9">
        <v>1</v>
      </c>
      <c r="CB24" s="18">
        <v>45226</v>
      </c>
      <c r="CC24" s="18">
        <v>45264</v>
      </c>
      <c r="CD24" s="9">
        <v>39</v>
      </c>
      <c r="CE24" s="49">
        <v>0.21996154161383599</v>
      </c>
      <c r="CF24" s="49">
        <v>0.21132307014829099</v>
      </c>
      <c r="CG24" s="49">
        <v>0.221776616765677</v>
      </c>
      <c r="CH24" s="49">
        <v>0.21689972165068799</v>
      </c>
      <c r="CI24" s="49">
        <v>0.47872888259222901</v>
      </c>
      <c r="CJ24" s="49">
        <v>0.44218064499281701</v>
      </c>
      <c r="CK24" s="49">
        <v>0.41036059901428101</v>
      </c>
      <c r="CL24" s="49">
        <v>0.40812731600442698</v>
      </c>
      <c r="CM24" s="49">
        <v>0.33866938727025903</v>
      </c>
      <c r="CN24" s="49">
        <v>0.46932604362420199</v>
      </c>
      <c r="CO24" s="49">
        <v>0.56751324964588801</v>
      </c>
      <c r="CP24" s="49">
        <v>0.55407734624242799</v>
      </c>
      <c r="CQ24" s="49">
        <v>0.56340940251532601</v>
      </c>
      <c r="CR24" s="49">
        <v>0.51030212742418601</v>
      </c>
      <c r="CS24" s="49">
        <v>0.62880245803818102</v>
      </c>
      <c r="CT24" s="49">
        <v>0.61602736692489302</v>
      </c>
      <c r="CU24" s="49">
        <v>0.77777777777777801</v>
      </c>
      <c r="CV24" s="49">
        <v>0.78395061728395099</v>
      </c>
      <c r="CW24" s="49">
        <v>0.78395061728395099</v>
      </c>
      <c r="CX24" s="49">
        <v>0.78395061728395099</v>
      </c>
      <c r="CY24" s="49">
        <v>0.66987179487179505</v>
      </c>
      <c r="CZ24" s="49">
        <v>0.64743589743589702</v>
      </c>
      <c r="DA24" s="49">
        <v>0.67095959595959598</v>
      </c>
      <c r="DB24" s="49">
        <v>0.69949494949494995</v>
      </c>
      <c r="DC24" s="49">
        <v>0.40826567878860198</v>
      </c>
      <c r="DD24" s="49">
        <v>0.58986875031696995</v>
      </c>
      <c r="DE24" s="49">
        <v>0.68731152158801201</v>
      </c>
      <c r="DF24" s="49">
        <v>0.68731152158801201</v>
      </c>
      <c r="DG24" s="49">
        <v>0.76671264866257904</v>
      </c>
      <c r="DH24" s="49">
        <v>0.71486367605892898</v>
      </c>
      <c r="DI24" s="49">
        <v>0.840963302051836</v>
      </c>
      <c r="DJ24" s="49">
        <v>0.86606766056224604</v>
      </c>
      <c r="DK24" s="49">
        <v>0.35128205128205098</v>
      </c>
      <c r="DL24" s="49">
        <v>0.54102564102564099</v>
      </c>
      <c r="DM24" s="49">
        <v>0.57692307692307698</v>
      </c>
      <c r="DN24" s="49">
        <v>0.57692307692307698</v>
      </c>
      <c r="DO24" s="49">
        <v>0.61831501831501801</v>
      </c>
      <c r="DP24" s="49">
        <v>0.58461538461538498</v>
      </c>
      <c r="DQ24" s="49">
        <v>0.722344322344323</v>
      </c>
      <c r="DR24" s="49">
        <v>0.66923076923076896</v>
      </c>
      <c r="DS24" s="49">
        <v>1.5185185185185199</v>
      </c>
      <c r="DT24" s="49">
        <v>1.4814814814814801</v>
      </c>
      <c r="DU24" s="49">
        <v>1.4814814814814801</v>
      </c>
      <c r="DV24" s="49">
        <v>1.4814814814814801</v>
      </c>
      <c r="DW24" s="49">
        <v>1.7820512820512799</v>
      </c>
      <c r="DX24" s="49">
        <v>1.9358974358974399</v>
      </c>
      <c r="DY24" s="49">
        <v>1.98484848484848</v>
      </c>
      <c r="DZ24" s="49">
        <v>1.75757575757576</v>
      </c>
      <c r="EA24" s="49">
        <v>57.146490792179002</v>
      </c>
      <c r="EB24" s="49">
        <v>30.8535336129728</v>
      </c>
      <c r="EC24" s="49">
        <v>11.118985508973401</v>
      </c>
      <c r="ED24" s="49">
        <v>4.6394191529877098</v>
      </c>
      <c r="EE24" s="49">
        <v>246.33366872838701</v>
      </c>
      <c r="EF24" s="49">
        <v>89.192447023845205</v>
      </c>
      <c r="EG24" s="49">
        <v>41.2606602296582</v>
      </c>
      <c r="EH24" s="49">
        <v>14.628328051360199</v>
      </c>
      <c r="EI24" s="49">
        <v>6.3402265271772</v>
      </c>
      <c r="EJ24" s="49">
        <v>379.83041367504501</v>
      </c>
      <c r="EK24" s="49">
        <v>0.231988144727346</v>
      </c>
      <c r="EL24" s="49">
        <v>0.12525098080276101</v>
      </c>
      <c r="EM24" s="49">
        <v>4.5137904072843203E-2</v>
      </c>
      <c r="EN24" s="49">
        <v>1.8833881608377501E-2</v>
      </c>
      <c r="EO24" s="49">
        <v>0.23482176206182301</v>
      </c>
      <c r="EP24" s="49">
        <v>0.108629163816665</v>
      </c>
      <c r="EQ24" s="49">
        <v>3.85127876144091E-2</v>
      </c>
      <c r="ER24" s="49">
        <v>1.6692256067207499E-2</v>
      </c>
    </row>
    <row r="25" spans="1:148" ht="28" customHeight="1">
      <c r="A25" s="9">
        <v>6</v>
      </c>
      <c r="B25" s="9">
        <f t="shared" si="0"/>
        <v>24</v>
      </c>
      <c r="C25">
        <v>24</v>
      </c>
      <c r="D25" s="9" t="s">
        <v>88</v>
      </c>
      <c r="E25" s="9">
        <v>67186997</v>
      </c>
      <c r="F25" s="37">
        <v>30</v>
      </c>
      <c r="G25" s="9">
        <v>2</v>
      </c>
      <c r="H25" s="9" t="s">
        <v>23</v>
      </c>
      <c r="I25" s="9">
        <f t="shared" si="1"/>
        <v>46</v>
      </c>
      <c r="J25" s="9" t="s">
        <v>41</v>
      </c>
      <c r="K25" s="9">
        <v>3</v>
      </c>
      <c r="L25" s="9">
        <v>2</v>
      </c>
      <c r="M25" s="9" t="s">
        <v>29</v>
      </c>
      <c r="N25" s="17">
        <v>14472</v>
      </c>
      <c r="O25" s="45">
        <v>81.481481481481481</v>
      </c>
      <c r="P25" s="17">
        <v>5</v>
      </c>
      <c r="Q25" s="17">
        <v>2</v>
      </c>
      <c r="R25" s="18">
        <v>45566</v>
      </c>
      <c r="S25" s="9">
        <v>2</v>
      </c>
      <c r="T25" s="9">
        <v>7</v>
      </c>
      <c r="U25" s="9">
        <v>33</v>
      </c>
      <c r="V25" s="9">
        <v>40</v>
      </c>
      <c r="W25" s="9">
        <v>6</v>
      </c>
      <c r="X25" s="9">
        <v>7</v>
      </c>
      <c r="Y25" s="9">
        <v>11</v>
      </c>
      <c r="Z25" s="9">
        <v>6</v>
      </c>
      <c r="AA25" s="9">
        <v>2</v>
      </c>
      <c r="AB25" s="9">
        <v>1</v>
      </c>
      <c r="AC25" s="9">
        <v>9</v>
      </c>
      <c r="AD25" s="9">
        <v>10</v>
      </c>
      <c r="AE25" s="9">
        <v>1</v>
      </c>
      <c r="AF25" s="9">
        <v>2</v>
      </c>
      <c r="AG25" s="9">
        <v>1</v>
      </c>
      <c r="AH25" s="9">
        <v>1</v>
      </c>
      <c r="AI25" s="9">
        <v>1</v>
      </c>
      <c r="AJ25" s="9">
        <v>2</v>
      </c>
      <c r="AK25" s="9">
        <v>1</v>
      </c>
      <c r="AL25" s="9">
        <v>33</v>
      </c>
      <c r="AM25" s="9">
        <v>2</v>
      </c>
      <c r="AN25" s="9">
        <v>1</v>
      </c>
      <c r="AO25" s="17" t="s">
        <v>315</v>
      </c>
      <c r="AP25" s="31" t="s">
        <v>349</v>
      </c>
      <c r="AQ25" s="31" t="s">
        <v>350</v>
      </c>
      <c r="AR25" s="9" t="s">
        <v>503</v>
      </c>
      <c r="AS25" s="9">
        <v>1</v>
      </c>
      <c r="AT25" s="9">
        <v>2</v>
      </c>
      <c r="AU25" s="9">
        <v>1</v>
      </c>
      <c r="AV25" s="9">
        <v>38</v>
      </c>
      <c r="AW25" s="9">
        <v>5</v>
      </c>
      <c r="AX25" s="37">
        <f t="shared" si="2"/>
        <v>38.714285714285715</v>
      </c>
      <c r="AY25" s="9">
        <v>1875</v>
      </c>
      <c r="AZ25" s="9">
        <v>3</v>
      </c>
      <c r="BA25" s="9">
        <v>5</v>
      </c>
      <c r="BB25" s="9">
        <v>41</v>
      </c>
      <c r="BC25" s="9">
        <v>4</v>
      </c>
      <c r="BD25" s="9">
        <v>28</v>
      </c>
      <c r="BE25" s="9">
        <v>4</v>
      </c>
      <c r="BF25" s="9">
        <v>2770</v>
      </c>
      <c r="BG25" s="9">
        <v>3</v>
      </c>
      <c r="BH25" s="9">
        <v>49</v>
      </c>
      <c r="BI25" s="9">
        <v>4</v>
      </c>
      <c r="BJ25" s="9">
        <v>33</v>
      </c>
      <c r="BK25" s="9">
        <v>3</v>
      </c>
      <c r="BL25" s="9">
        <v>1</v>
      </c>
      <c r="BN25" s="9">
        <v>2</v>
      </c>
      <c r="BO25" s="9">
        <v>1</v>
      </c>
      <c r="BP25" s="9">
        <v>1</v>
      </c>
      <c r="BR25" s="9">
        <v>1</v>
      </c>
      <c r="BS25" s="9">
        <v>1</v>
      </c>
      <c r="BT25" s="42">
        <v>45528</v>
      </c>
      <c r="BU25" s="18">
        <v>45589</v>
      </c>
      <c r="BV25" s="9">
        <v>1</v>
      </c>
      <c r="BW25" s="9">
        <v>1</v>
      </c>
      <c r="BX25" s="9">
        <v>0</v>
      </c>
      <c r="BY25" s="9">
        <v>2</v>
      </c>
      <c r="BZ25" s="9">
        <v>40</v>
      </c>
      <c r="CA25" s="9">
        <v>1</v>
      </c>
      <c r="CB25" s="18">
        <v>45543</v>
      </c>
      <c r="CC25" s="18">
        <v>45567</v>
      </c>
      <c r="CD25" s="9">
        <v>25</v>
      </c>
      <c r="CE25" s="49">
        <v>0.29268441302424297</v>
      </c>
      <c r="CF25" s="49">
        <v>0.32477171418648798</v>
      </c>
      <c r="CG25" s="49">
        <v>0.25043732455809298</v>
      </c>
      <c r="CH25" s="49">
        <v>0.26799105379232302</v>
      </c>
      <c r="CI25" s="49">
        <v>0.49779463334680302</v>
      </c>
      <c r="CJ25" s="49">
        <v>0.427767798357851</v>
      </c>
      <c r="CK25" s="49">
        <v>0.42180486538330902</v>
      </c>
      <c r="CL25" s="49">
        <v>0.42156085340010802</v>
      </c>
      <c r="CM25" s="49">
        <v>0.44172829334076702</v>
      </c>
      <c r="CN25" s="49">
        <v>0.24247034564803099</v>
      </c>
      <c r="CO25" s="49">
        <v>0.39411505589309298</v>
      </c>
      <c r="CP25" s="49">
        <v>0.36691802225431802</v>
      </c>
      <c r="CQ25" s="49">
        <v>0.67713233659473004</v>
      </c>
      <c r="CR25" s="49">
        <v>0.60582184505672099</v>
      </c>
      <c r="CS25" s="49">
        <v>0.60720419711329698</v>
      </c>
      <c r="CT25" s="49">
        <v>0.58899208138304104</v>
      </c>
      <c r="CU25" s="49">
        <v>0.54727272727272802</v>
      </c>
      <c r="CV25" s="49">
        <v>0.53787878787878796</v>
      </c>
      <c r="CW25" s="49">
        <v>0.60507246376811596</v>
      </c>
      <c r="CX25" s="49">
        <v>0.55787878787878797</v>
      </c>
      <c r="CY25" s="49">
        <v>0.72979797979798</v>
      </c>
      <c r="CZ25" s="49">
        <v>0.72474747474747503</v>
      </c>
      <c r="DA25" s="49">
        <v>0.72222222222222199</v>
      </c>
      <c r="DB25" s="49">
        <v>0.72979797979798</v>
      </c>
      <c r="DC25" s="49">
        <v>0.58180899458913204</v>
      </c>
      <c r="DD25" s="49">
        <v>0.32804360323036202</v>
      </c>
      <c r="DE25" s="49">
        <v>0.55385302768129796</v>
      </c>
      <c r="DF25" s="49">
        <v>0.53386918017877505</v>
      </c>
      <c r="DG25" s="49">
        <v>0.83395666535464796</v>
      </c>
      <c r="DH25" s="49">
        <v>0.86640685137279105</v>
      </c>
      <c r="DI25" s="49">
        <v>0.87526624022025501</v>
      </c>
      <c r="DJ25" s="49">
        <v>0.85944716641387597</v>
      </c>
      <c r="DK25" s="49">
        <v>0.55128205128205099</v>
      </c>
      <c r="DL25" s="49">
        <v>0.30769230769230799</v>
      </c>
      <c r="DM25" s="49">
        <v>0.492307692307692</v>
      </c>
      <c r="DN25" s="49">
        <v>0.47435897435897401</v>
      </c>
      <c r="DO25" s="49">
        <v>0.65952380952380996</v>
      </c>
      <c r="DP25" s="49">
        <v>0.65915750915750904</v>
      </c>
      <c r="DQ25" s="49">
        <v>0.70085470085470103</v>
      </c>
      <c r="DR25" s="49">
        <v>0.64047619047618998</v>
      </c>
      <c r="DS25" s="49">
        <v>2.4363636363636401</v>
      </c>
      <c r="DT25" s="49">
        <v>2.3181818181818201</v>
      </c>
      <c r="DU25" s="49">
        <v>2.1304347826086998</v>
      </c>
      <c r="DV25" s="49">
        <v>2.3636363636363602</v>
      </c>
      <c r="DW25" s="49">
        <v>1.5606060606060601</v>
      </c>
      <c r="DX25" s="49">
        <v>1.5909090909090899</v>
      </c>
      <c r="DY25" s="49">
        <v>1.60606060606061</v>
      </c>
      <c r="DZ25" s="49">
        <v>1.5606060606060601</v>
      </c>
      <c r="EA25" s="49">
        <v>36.085898577667798</v>
      </c>
      <c r="EB25" s="49">
        <v>11.223818673516099</v>
      </c>
      <c r="EC25" s="49">
        <v>4.7650969302090704</v>
      </c>
      <c r="ED25" s="49">
        <v>2.3296734591513899</v>
      </c>
      <c r="EE25" s="49">
        <v>185.26242582605599</v>
      </c>
      <c r="EF25" s="49">
        <v>84.7586013769739</v>
      </c>
      <c r="EG25" s="49">
        <v>15.0313568473728</v>
      </c>
      <c r="EH25" s="49">
        <v>6.2866919351335202</v>
      </c>
      <c r="EI25" s="49">
        <v>4.3799380965868897</v>
      </c>
      <c r="EJ25" s="49">
        <v>383.02248245811199</v>
      </c>
      <c r="EK25" s="49">
        <v>0.19478260859840599</v>
      </c>
      <c r="EL25" s="49">
        <v>6.05833515537266E-2</v>
      </c>
      <c r="EM25" s="49">
        <v>2.5720795293283302E-2</v>
      </c>
      <c r="EN25" s="49">
        <v>1.2574991657178999E-2</v>
      </c>
      <c r="EO25" s="49">
        <v>0.221288841409572</v>
      </c>
      <c r="EP25" s="49">
        <v>3.9244058862828397E-2</v>
      </c>
      <c r="EQ25" s="49">
        <v>1.64133757757184E-2</v>
      </c>
      <c r="ER25" s="49">
        <v>1.14351984470412E-2</v>
      </c>
    </row>
    <row r="26" spans="1:148" ht="28" customHeight="1">
      <c r="A26" s="9">
        <v>46</v>
      </c>
      <c r="B26" s="9">
        <f t="shared" si="0"/>
        <v>25</v>
      </c>
      <c r="C26">
        <v>25</v>
      </c>
      <c r="D26" s="20" t="s">
        <v>92</v>
      </c>
      <c r="E26" s="20">
        <v>67063798</v>
      </c>
      <c r="F26" s="37">
        <v>32</v>
      </c>
      <c r="G26" s="9">
        <v>2</v>
      </c>
      <c r="H26" s="23" t="s">
        <v>58</v>
      </c>
      <c r="I26" s="24">
        <f t="shared" si="1"/>
        <v>27</v>
      </c>
      <c r="J26" s="25" t="s">
        <v>540</v>
      </c>
      <c r="K26" s="9">
        <v>3</v>
      </c>
      <c r="L26" s="9">
        <v>2</v>
      </c>
      <c r="M26" s="23" t="s">
        <v>57</v>
      </c>
      <c r="N26" s="17">
        <v>6072</v>
      </c>
      <c r="O26" s="45">
        <v>79.183135704874843</v>
      </c>
      <c r="P26" s="17">
        <v>5</v>
      </c>
      <c r="Q26" s="17">
        <v>2</v>
      </c>
      <c r="R26" s="18">
        <v>45418</v>
      </c>
      <c r="S26" s="9">
        <v>2</v>
      </c>
      <c r="T26" s="9">
        <v>9</v>
      </c>
      <c r="U26" s="9">
        <v>3</v>
      </c>
      <c r="V26" s="9">
        <v>12</v>
      </c>
      <c r="W26" s="9">
        <v>11</v>
      </c>
      <c r="X26" s="9">
        <v>14</v>
      </c>
      <c r="Y26" s="9">
        <v>1</v>
      </c>
      <c r="Z26" s="9">
        <v>17</v>
      </c>
      <c r="AA26" s="9">
        <v>1</v>
      </c>
      <c r="AB26" s="9">
        <v>1</v>
      </c>
      <c r="AC26" s="9">
        <v>8</v>
      </c>
      <c r="AD26" s="9">
        <v>9</v>
      </c>
      <c r="AE26" s="9">
        <v>1</v>
      </c>
      <c r="AF26" s="9">
        <v>2</v>
      </c>
      <c r="AG26" s="9">
        <v>1</v>
      </c>
      <c r="AH26" s="9">
        <v>2</v>
      </c>
      <c r="AI26" s="9">
        <v>2</v>
      </c>
      <c r="AJ26" s="9">
        <v>1</v>
      </c>
      <c r="AK26" s="9">
        <v>1</v>
      </c>
      <c r="AL26" s="9">
        <v>32</v>
      </c>
      <c r="AM26" s="9">
        <v>2</v>
      </c>
      <c r="AN26" s="9">
        <v>1</v>
      </c>
      <c r="AO26" s="9" t="s">
        <v>342</v>
      </c>
      <c r="AP26" s="31" t="s">
        <v>397</v>
      </c>
      <c r="AQ26" s="17" t="s">
        <v>398</v>
      </c>
      <c r="AR26" s="36" t="s">
        <v>399</v>
      </c>
      <c r="AS26" s="9">
        <v>1</v>
      </c>
      <c r="AT26" s="9">
        <v>2</v>
      </c>
      <c r="AU26" s="9">
        <v>1</v>
      </c>
      <c r="AV26" s="9">
        <v>38</v>
      </c>
      <c r="AW26" s="9">
        <v>4</v>
      </c>
      <c r="AX26" s="37">
        <f t="shared" si="2"/>
        <v>38.571428571428569</v>
      </c>
      <c r="AY26" s="9">
        <v>1435</v>
      </c>
      <c r="AZ26" s="9">
        <v>2</v>
      </c>
      <c r="BA26" s="9">
        <v>4</v>
      </c>
      <c r="BB26" s="9">
        <v>46</v>
      </c>
      <c r="BC26" s="9">
        <v>4</v>
      </c>
      <c r="BD26" s="9">
        <v>31</v>
      </c>
      <c r="BE26" s="9">
        <v>3</v>
      </c>
      <c r="BF26" s="9">
        <v>2470</v>
      </c>
      <c r="BG26" s="9">
        <v>2</v>
      </c>
      <c r="BH26" s="9">
        <v>47</v>
      </c>
      <c r="BI26" s="9">
        <v>3</v>
      </c>
      <c r="BJ26" s="9">
        <v>33</v>
      </c>
      <c r="BK26" s="9">
        <v>3</v>
      </c>
      <c r="BL26" s="9">
        <v>1</v>
      </c>
      <c r="BN26" s="9">
        <v>1</v>
      </c>
      <c r="BP26" s="9">
        <v>1</v>
      </c>
      <c r="BR26" s="9">
        <v>2</v>
      </c>
      <c r="BS26" s="9">
        <v>1</v>
      </c>
      <c r="BT26" s="42">
        <v>45407</v>
      </c>
      <c r="BU26" s="32">
        <v>45450</v>
      </c>
      <c r="BV26" s="9">
        <v>2</v>
      </c>
      <c r="BW26" s="9">
        <v>2</v>
      </c>
      <c r="BX26" s="9">
        <v>0</v>
      </c>
      <c r="BY26" s="9">
        <v>2</v>
      </c>
      <c r="BZ26" s="9">
        <v>64</v>
      </c>
      <c r="CA26" s="9">
        <v>1</v>
      </c>
      <c r="CB26" s="18"/>
      <c r="CC26" s="18"/>
      <c r="CD26" s="17">
        <v>0</v>
      </c>
      <c r="CE26" s="49">
        <v>0.245217722811231</v>
      </c>
      <c r="CF26" s="49">
        <v>0.30451384917984903</v>
      </c>
      <c r="CG26" s="49">
        <v>0.30570147515517898</v>
      </c>
      <c r="CH26" s="49">
        <v>0.27055904042124901</v>
      </c>
      <c r="CI26" s="49">
        <v>0.39104034416469002</v>
      </c>
      <c r="CJ26" s="49">
        <v>0.360765711116877</v>
      </c>
      <c r="CK26" s="49">
        <v>0.37139782761090101</v>
      </c>
      <c r="CL26" s="49">
        <v>0.35986042533087198</v>
      </c>
      <c r="CM26" s="49">
        <v>0.41189205523824302</v>
      </c>
      <c r="CN26" s="49">
        <v>0.34316717247843198</v>
      </c>
      <c r="CO26" s="49">
        <v>0.342762854602845</v>
      </c>
      <c r="CP26" s="49">
        <v>0.45086700658133899</v>
      </c>
      <c r="CQ26" s="49">
        <v>0.51298867579957097</v>
      </c>
      <c r="CR26" s="49">
        <v>0.542316907609942</v>
      </c>
      <c r="CS26" s="49">
        <v>0.543300393732144</v>
      </c>
      <c r="CT26" s="49">
        <v>0.52741184613470904</v>
      </c>
      <c r="CU26" s="49">
        <v>0.75555555555555598</v>
      </c>
      <c r="CV26" s="49">
        <v>0.625</v>
      </c>
      <c r="CW26" s="49">
        <v>0.625</v>
      </c>
      <c r="CX26" s="49">
        <v>0.69819819819819795</v>
      </c>
      <c r="CY26" s="49">
        <v>0.80555555555555602</v>
      </c>
      <c r="CZ26" s="49">
        <v>0.83695652173913104</v>
      </c>
      <c r="DA26" s="49">
        <v>0.82291666666666696</v>
      </c>
      <c r="DB26" s="49">
        <v>0.82291666666666696</v>
      </c>
      <c r="DC26" s="49">
        <v>0.48773032669517202</v>
      </c>
      <c r="DD26" s="49">
        <v>0.41356228272671802</v>
      </c>
      <c r="DE26" s="49">
        <v>0.41356228272671802</v>
      </c>
      <c r="DF26" s="49">
        <v>0.55616522177419703</v>
      </c>
      <c r="DG26" s="49">
        <v>0.63707015266244305</v>
      </c>
      <c r="DH26" s="49">
        <v>0.74216439956300595</v>
      </c>
      <c r="DI26" s="49">
        <v>0.74348741606297297</v>
      </c>
      <c r="DJ26" s="49">
        <v>0.74182492945918199</v>
      </c>
      <c r="DK26" s="49">
        <v>0.39743589743589702</v>
      </c>
      <c r="DL26" s="49">
        <v>0.31538461538461499</v>
      </c>
      <c r="DM26" s="49">
        <v>0.31538461538461499</v>
      </c>
      <c r="DN26" s="49">
        <v>0.44102564102564101</v>
      </c>
      <c r="DO26" s="49">
        <v>0.57252747252747305</v>
      </c>
      <c r="DP26" s="49">
        <v>0.64010989010988995</v>
      </c>
      <c r="DQ26" s="49">
        <v>0.64444444444444504</v>
      </c>
      <c r="DR26" s="49">
        <v>0.63638583638583701</v>
      </c>
      <c r="DS26" s="49">
        <v>1.5333333333333301</v>
      </c>
      <c r="DT26" s="49">
        <v>1.97826086956522</v>
      </c>
      <c r="DU26" s="49">
        <v>1.97826086956522</v>
      </c>
      <c r="DV26" s="49">
        <v>1.6756756756756801</v>
      </c>
      <c r="DW26" s="49">
        <v>1.4583333333333299</v>
      </c>
      <c r="DX26" s="49">
        <v>1.3260869565217399</v>
      </c>
      <c r="DY26" s="49">
        <v>1.3541666666666701</v>
      </c>
      <c r="DZ26" s="49">
        <v>1.3541666666666701</v>
      </c>
      <c r="EA26" s="49">
        <v>53.507619074257398</v>
      </c>
      <c r="EB26" s="49">
        <v>15.4403288040477</v>
      </c>
      <c r="EC26" s="49">
        <v>5.8251071164703001</v>
      </c>
      <c r="ED26" s="49">
        <v>2.75792568604014</v>
      </c>
      <c r="EE26" s="49">
        <v>252.127583175588</v>
      </c>
      <c r="EF26" s="49">
        <v>57.761580605389298</v>
      </c>
      <c r="EG26" s="49">
        <v>18.768210748521899</v>
      </c>
      <c r="EH26" s="49">
        <v>7.17127617045346</v>
      </c>
      <c r="EI26" s="49">
        <v>4.0155775848388098</v>
      </c>
      <c r="EJ26" s="49">
        <v>332.49012754264101</v>
      </c>
      <c r="EK26" s="49">
        <v>0.212224376247614</v>
      </c>
      <c r="EL26" s="49">
        <v>6.1240141239503498E-2</v>
      </c>
      <c r="EM26" s="49">
        <v>2.3103807378399999E-2</v>
      </c>
      <c r="EN26" s="49">
        <v>1.0938611520816601E-2</v>
      </c>
      <c r="EO26" s="49">
        <v>0.17372419756427701</v>
      </c>
      <c r="EP26" s="49">
        <v>5.6447422626450701E-2</v>
      </c>
      <c r="EQ26" s="49">
        <v>2.15683882810438E-2</v>
      </c>
      <c r="ER26" s="49">
        <v>1.2077283661073E-2</v>
      </c>
    </row>
    <row r="27" spans="1:148" ht="28" customHeight="1">
      <c r="A27" s="9">
        <v>53</v>
      </c>
      <c r="B27" s="9">
        <f t="shared" si="0"/>
        <v>26</v>
      </c>
      <c r="C27">
        <v>26</v>
      </c>
      <c r="D27" s="9" t="s">
        <v>188</v>
      </c>
      <c r="E27" s="9">
        <v>67102262</v>
      </c>
      <c r="F27" s="37">
        <v>29.571428571428573</v>
      </c>
      <c r="G27" s="9">
        <v>2</v>
      </c>
      <c r="H27" s="20" t="s">
        <v>45</v>
      </c>
      <c r="I27" s="20">
        <f t="shared" si="1"/>
        <v>101</v>
      </c>
      <c r="J27" s="20" t="s">
        <v>545</v>
      </c>
      <c r="K27" s="9">
        <v>3</v>
      </c>
      <c r="L27" s="9">
        <v>2</v>
      </c>
      <c r="M27" s="20" t="s">
        <v>44</v>
      </c>
      <c r="N27" s="17">
        <v>15224</v>
      </c>
      <c r="O27" s="45">
        <v>89.542827115081451</v>
      </c>
      <c r="P27" s="17">
        <v>5</v>
      </c>
      <c r="Q27" s="17">
        <v>2</v>
      </c>
      <c r="R27" s="18">
        <v>45542</v>
      </c>
      <c r="S27" s="9">
        <v>2</v>
      </c>
      <c r="T27" s="9">
        <v>17</v>
      </c>
      <c r="U27" s="9">
        <v>31</v>
      </c>
      <c r="V27" s="9">
        <v>48</v>
      </c>
      <c r="W27" s="9">
        <v>22</v>
      </c>
      <c r="X27" s="9">
        <v>35</v>
      </c>
      <c r="Y27" s="9">
        <v>9</v>
      </c>
      <c r="Z27" s="9">
        <v>41</v>
      </c>
      <c r="AA27" s="9">
        <v>2</v>
      </c>
      <c r="AB27" s="9">
        <v>1</v>
      </c>
      <c r="AC27" s="9">
        <v>7</v>
      </c>
      <c r="AD27" s="9">
        <v>10</v>
      </c>
      <c r="AE27" s="9">
        <v>1</v>
      </c>
      <c r="AF27" s="9">
        <v>2</v>
      </c>
      <c r="AG27" s="9">
        <v>2</v>
      </c>
      <c r="AH27" s="9">
        <v>2</v>
      </c>
      <c r="AI27" s="9">
        <v>1</v>
      </c>
      <c r="AJ27" s="9">
        <v>1</v>
      </c>
      <c r="AK27" s="9">
        <v>2</v>
      </c>
      <c r="AL27" s="9">
        <v>35</v>
      </c>
      <c r="AM27" s="9">
        <v>3</v>
      </c>
      <c r="AN27" s="9">
        <v>1</v>
      </c>
      <c r="AO27" s="9" t="s">
        <v>417</v>
      </c>
      <c r="AP27" s="9" t="s">
        <v>418</v>
      </c>
      <c r="AQ27" s="19" t="s">
        <v>196</v>
      </c>
      <c r="AR27" s="9" t="s">
        <v>195</v>
      </c>
      <c r="AS27" s="9">
        <v>1</v>
      </c>
      <c r="AT27" s="9">
        <v>2</v>
      </c>
      <c r="AU27" s="9">
        <v>3</v>
      </c>
      <c r="AV27" s="9">
        <v>44</v>
      </c>
      <c r="AW27" s="9">
        <v>1</v>
      </c>
      <c r="AX27" s="37">
        <f t="shared" si="2"/>
        <v>44.142857142857146</v>
      </c>
      <c r="AY27" s="9">
        <v>965</v>
      </c>
      <c r="AZ27" s="9">
        <v>1</v>
      </c>
      <c r="BA27" s="9">
        <v>3</v>
      </c>
      <c r="BB27" s="9">
        <v>40</v>
      </c>
      <c r="BC27" s="9">
        <v>4</v>
      </c>
      <c r="BD27" s="9">
        <v>26</v>
      </c>
      <c r="BE27" s="9">
        <v>3</v>
      </c>
      <c r="BF27" s="9">
        <v>2370</v>
      </c>
      <c r="BG27" s="9">
        <v>1</v>
      </c>
      <c r="BH27" s="9">
        <v>44</v>
      </c>
      <c r="BI27" s="9">
        <v>1</v>
      </c>
      <c r="BJ27" s="9">
        <v>27</v>
      </c>
      <c r="BK27" s="9">
        <v>1</v>
      </c>
      <c r="BL27" s="9">
        <v>2</v>
      </c>
      <c r="BM27" s="9">
        <v>3</v>
      </c>
      <c r="BN27" s="9">
        <v>2</v>
      </c>
      <c r="BO27" s="9">
        <v>2</v>
      </c>
      <c r="BP27" s="9">
        <v>1</v>
      </c>
      <c r="BR27" s="9">
        <v>2</v>
      </c>
      <c r="BS27" s="9">
        <v>1</v>
      </c>
      <c r="BT27" s="18">
        <v>45450</v>
      </c>
      <c r="BU27" s="18">
        <v>45553</v>
      </c>
      <c r="BV27" s="9">
        <v>1</v>
      </c>
      <c r="BW27" s="9">
        <v>2</v>
      </c>
      <c r="BX27" s="9">
        <v>3</v>
      </c>
      <c r="BY27" s="9">
        <v>2</v>
      </c>
      <c r="BZ27" s="9">
        <v>159</v>
      </c>
      <c r="CA27" s="9">
        <v>1</v>
      </c>
      <c r="CB27" s="18">
        <v>45450</v>
      </c>
      <c r="CC27" s="18">
        <v>45485</v>
      </c>
      <c r="CD27" s="9">
        <v>36</v>
      </c>
      <c r="CE27" s="49">
        <v>0.247981701082304</v>
      </c>
      <c r="CF27" s="49">
        <v>0.181788535377406</v>
      </c>
      <c r="CG27" s="49">
        <v>0.227670350714161</v>
      </c>
      <c r="CH27" s="49">
        <v>0.214148397831462</v>
      </c>
      <c r="CI27" s="49">
        <v>0.37701129634185498</v>
      </c>
      <c r="CJ27" s="49">
        <v>0.36671220669428101</v>
      </c>
      <c r="CK27" s="49">
        <v>0.368988884456114</v>
      </c>
      <c r="CL27" s="49">
        <v>0.42436158525552597</v>
      </c>
      <c r="CM27" s="49">
        <v>0.336044098469307</v>
      </c>
      <c r="CN27" s="49">
        <v>0.299115814134575</v>
      </c>
      <c r="CO27" s="49">
        <v>0.27321529615879703</v>
      </c>
      <c r="CP27" s="49">
        <v>0.262248574405891</v>
      </c>
      <c r="CQ27" s="49">
        <v>0.58178222617213904</v>
      </c>
      <c r="CR27" s="49">
        <v>0.47888021225767102</v>
      </c>
      <c r="CS27" s="49">
        <v>0.47876526104522299</v>
      </c>
      <c r="CT27" s="49">
        <v>0.458448395694385</v>
      </c>
      <c r="CU27" s="49">
        <v>0.68468468468468502</v>
      </c>
      <c r="CV27" s="49">
        <v>0.81944444444444398</v>
      </c>
      <c r="CW27" s="49">
        <v>0.65877192982456201</v>
      </c>
      <c r="CX27" s="49">
        <v>0.66306306306306295</v>
      </c>
      <c r="CY27" s="49">
        <v>0.844444444444444</v>
      </c>
      <c r="CZ27" s="49">
        <v>0.76190476190476197</v>
      </c>
      <c r="DA27" s="49">
        <v>0.77083333333333304</v>
      </c>
      <c r="DB27" s="49">
        <v>0.66239316239316204</v>
      </c>
      <c r="DC27" s="49">
        <v>0.43232457713519201</v>
      </c>
      <c r="DD27" s="49">
        <v>0.40826567878860198</v>
      </c>
      <c r="DE27" s="49">
        <v>0.37672460762219101</v>
      </c>
      <c r="DF27" s="49">
        <v>0.37855439403996599</v>
      </c>
      <c r="DG27" s="49">
        <v>0.75186223808511998</v>
      </c>
      <c r="DH27" s="49">
        <v>0.72197812075890699</v>
      </c>
      <c r="DI27" s="49">
        <v>0.72246733831224297</v>
      </c>
      <c r="DJ27" s="49">
        <v>0.70752633389601804</v>
      </c>
      <c r="DK27" s="49">
        <v>0.34871794871794898</v>
      </c>
      <c r="DL27" s="49">
        <v>0.35128205128205098</v>
      </c>
      <c r="DM27" s="49">
        <v>0.32051282051282098</v>
      </c>
      <c r="DN27" s="49">
        <v>0.32564102564102598</v>
      </c>
      <c r="DO27" s="49">
        <v>0.68711843711843701</v>
      </c>
      <c r="DP27" s="49">
        <v>0.62307692307692297</v>
      </c>
      <c r="DQ27" s="49">
        <v>0.61965811965812001</v>
      </c>
      <c r="DR27" s="49">
        <v>0.60012210012209999</v>
      </c>
      <c r="DS27" s="49">
        <v>1.7567567567567599</v>
      </c>
      <c r="DT27" s="49">
        <v>1.4166666666666701</v>
      </c>
      <c r="DU27" s="49">
        <v>1.9473684210526301</v>
      </c>
      <c r="DV27" s="49">
        <v>1.9459459459459501</v>
      </c>
      <c r="DW27" s="49">
        <v>1.31111111111111</v>
      </c>
      <c r="DX27" s="49">
        <v>1.53571428571429</v>
      </c>
      <c r="DY27" s="49">
        <v>1.4821428571428601</v>
      </c>
      <c r="DZ27" s="49">
        <v>1.8333333333333299</v>
      </c>
      <c r="EA27" s="49">
        <v>42.207971640624201</v>
      </c>
      <c r="EB27" s="49">
        <v>10.787870569401999</v>
      </c>
      <c r="EC27" s="49">
        <v>3.0746660865396702</v>
      </c>
      <c r="ED27" s="49">
        <v>1.0717222026366999</v>
      </c>
      <c r="EE27" s="49">
        <v>136.728304170462</v>
      </c>
      <c r="EF27" s="49">
        <v>23.291662504441401</v>
      </c>
      <c r="EG27" s="49">
        <v>5.4604824620704404</v>
      </c>
      <c r="EH27" s="49">
        <v>2.0862232839008601</v>
      </c>
      <c r="EI27" s="49">
        <v>1.0066603250808399</v>
      </c>
      <c r="EJ27" s="49">
        <v>172.14173901968999</v>
      </c>
      <c r="EK27" s="49">
        <v>0.30869959147597198</v>
      </c>
      <c r="EL27" s="49">
        <v>7.8900053905097203E-2</v>
      </c>
      <c r="EM27" s="49">
        <v>2.2487414768974399E-2</v>
      </c>
      <c r="EN27" s="49">
        <v>7.8383346384561601E-3</v>
      </c>
      <c r="EO27" s="49">
        <v>0.135305142361651</v>
      </c>
      <c r="EP27" s="49">
        <v>3.1720851044997597E-2</v>
      </c>
      <c r="EQ27" s="49">
        <v>1.2119218126768401E-2</v>
      </c>
      <c r="ER27" s="49">
        <v>5.84785729953441E-3</v>
      </c>
    </row>
    <row r="28" spans="1:148" ht="28" customHeight="1">
      <c r="A28" s="9">
        <v>31</v>
      </c>
      <c r="B28" s="9">
        <f t="shared" si="0"/>
        <v>27</v>
      </c>
      <c r="C28">
        <v>27</v>
      </c>
      <c r="D28" s="20" t="s">
        <v>114</v>
      </c>
      <c r="E28" s="20">
        <v>67093820</v>
      </c>
      <c r="F28" s="37">
        <v>30.428571428571427</v>
      </c>
      <c r="G28" s="9">
        <v>2</v>
      </c>
      <c r="H28" s="23" t="s">
        <v>66</v>
      </c>
      <c r="I28" s="24">
        <f t="shared" si="1"/>
        <v>40</v>
      </c>
      <c r="J28" s="25" t="s">
        <v>529</v>
      </c>
      <c r="K28" s="9">
        <v>3</v>
      </c>
      <c r="L28" s="9">
        <v>2</v>
      </c>
      <c r="M28" s="23" t="s">
        <v>65</v>
      </c>
      <c r="N28" s="17">
        <v>11968</v>
      </c>
      <c r="O28" s="45">
        <v>87.967914438502675</v>
      </c>
      <c r="P28" s="17">
        <v>5</v>
      </c>
      <c r="Q28" s="17">
        <v>2</v>
      </c>
      <c r="R28" s="18">
        <v>45487</v>
      </c>
      <c r="S28" s="9">
        <v>2</v>
      </c>
      <c r="T28" s="9">
        <v>20</v>
      </c>
      <c r="U28" s="9">
        <v>21</v>
      </c>
      <c r="V28" s="9">
        <v>41</v>
      </c>
      <c r="W28" s="9">
        <v>12</v>
      </c>
      <c r="X28" s="9">
        <v>7</v>
      </c>
      <c r="Y28" s="9">
        <v>4</v>
      </c>
      <c r="Z28" s="9">
        <v>26</v>
      </c>
      <c r="AA28" s="9">
        <v>2</v>
      </c>
      <c r="AB28" s="9">
        <v>1</v>
      </c>
      <c r="AC28" s="9">
        <v>10</v>
      </c>
      <c r="AD28" s="9">
        <v>10</v>
      </c>
      <c r="AE28" s="9">
        <v>1</v>
      </c>
      <c r="AF28" s="9">
        <v>1</v>
      </c>
      <c r="AG28" s="9">
        <v>1</v>
      </c>
      <c r="AH28" s="9">
        <v>2</v>
      </c>
      <c r="AI28" s="9">
        <v>2</v>
      </c>
      <c r="AJ28" s="9">
        <v>1</v>
      </c>
      <c r="AK28" s="9">
        <v>1</v>
      </c>
      <c r="AL28" s="9">
        <v>34</v>
      </c>
      <c r="AM28" s="9">
        <v>1</v>
      </c>
      <c r="AN28" s="9">
        <v>1</v>
      </c>
      <c r="AO28" s="9" t="s">
        <v>337</v>
      </c>
      <c r="AP28" s="31" t="s">
        <v>381</v>
      </c>
      <c r="AQ28" s="9" t="s">
        <v>155</v>
      </c>
      <c r="AR28" s="9" t="s">
        <v>154</v>
      </c>
      <c r="AS28" s="9">
        <v>1</v>
      </c>
      <c r="AT28" s="9">
        <v>2</v>
      </c>
      <c r="AU28" s="9">
        <v>1</v>
      </c>
      <c r="AV28" s="9">
        <v>37</v>
      </c>
      <c r="AW28" s="9">
        <v>5</v>
      </c>
      <c r="AX28" s="37">
        <f t="shared" si="2"/>
        <v>37.714285714285715</v>
      </c>
      <c r="AY28" s="9">
        <v>1110</v>
      </c>
      <c r="AZ28" s="9">
        <v>2</v>
      </c>
      <c r="BA28" s="9">
        <v>2</v>
      </c>
      <c r="BB28" s="9">
        <v>38</v>
      </c>
      <c r="BC28" s="9">
        <v>3</v>
      </c>
      <c r="BD28" s="9">
        <v>27</v>
      </c>
      <c r="BE28" s="9">
        <v>2</v>
      </c>
      <c r="BF28" s="9">
        <v>2400</v>
      </c>
      <c r="BG28" s="9">
        <v>2</v>
      </c>
      <c r="BH28" s="9">
        <v>45</v>
      </c>
      <c r="BI28" s="9">
        <v>3</v>
      </c>
      <c r="BJ28" s="9">
        <v>33</v>
      </c>
      <c r="BK28" s="9">
        <v>3</v>
      </c>
      <c r="BL28" s="9">
        <v>1</v>
      </c>
      <c r="BN28" s="9">
        <v>2</v>
      </c>
      <c r="BO28" s="9">
        <v>2</v>
      </c>
      <c r="BP28" s="9">
        <v>2</v>
      </c>
      <c r="BQ28" s="9">
        <v>2</v>
      </c>
      <c r="BR28" s="9">
        <v>2</v>
      </c>
      <c r="BS28" s="9">
        <v>2</v>
      </c>
      <c r="BT28" s="42">
        <v>45440</v>
      </c>
      <c r="BU28" s="18">
        <v>45511</v>
      </c>
      <c r="BV28" s="9">
        <v>1</v>
      </c>
      <c r="BW28" s="9">
        <v>1</v>
      </c>
      <c r="BX28" s="9">
        <v>0</v>
      </c>
      <c r="BY28" s="9">
        <v>2</v>
      </c>
      <c r="BZ28" s="9">
        <v>45</v>
      </c>
      <c r="CA28" s="9">
        <v>1</v>
      </c>
      <c r="CB28" s="18">
        <v>45440</v>
      </c>
      <c r="CC28" s="18">
        <v>45469</v>
      </c>
      <c r="CD28" s="9">
        <v>30</v>
      </c>
      <c r="CE28" s="49">
        <v>0.210876756146269</v>
      </c>
      <c r="CF28" s="49">
        <v>0.22035796733807</v>
      </c>
      <c r="CG28" s="49">
        <v>0.232790620069452</v>
      </c>
      <c r="CH28" s="49">
        <v>0.22864752506994801</v>
      </c>
      <c r="CI28" s="49">
        <v>0.33141848655109701</v>
      </c>
      <c r="CJ28" s="49">
        <v>0.36898389048570901</v>
      </c>
      <c r="CK28" s="49">
        <v>0.29242237218892198</v>
      </c>
      <c r="CL28" s="49">
        <v>0.28406644530137298</v>
      </c>
      <c r="CM28" s="49">
        <v>0.54310581878339204</v>
      </c>
      <c r="CN28" s="49">
        <v>0.55129224045273295</v>
      </c>
      <c r="CO28" s="49">
        <v>0.62936476593508195</v>
      </c>
      <c r="CP28" s="49">
        <v>0.37194850919093098</v>
      </c>
      <c r="CQ28" s="49">
        <v>0.65253916305354198</v>
      </c>
      <c r="CR28" s="49">
        <v>0.50225863916393299</v>
      </c>
      <c r="CS28" s="49">
        <v>0.62021880439391497</v>
      </c>
      <c r="CT28" s="49">
        <v>0.54172286388992497</v>
      </c>
      <c r="CU28" s="49">
        <v>0.74444444444444402</v>
      </c>
      <c r="CV28" s="49">
        <v>0.728494623655914</v>
      </c>
      <c r="CW28" s="49">
        <v>0.73655913978494603</v>
      </c>
      <c r="CX28" s="49">
        <v>0.74193548387096797</v>
      </c>
      <c r="CY28" s="49">
        <v>0.81944444444444497</v>
      </c>
      <c r="CZ28" s="49">
        <v>0.70202020202020199</v>
      </c>
      <c r="DA28" s="49">
        <v>0.95588235294117696</v>
      </c>
      <c r="DB28" s="49">
        <v>0.95588235294117696</v>
      </c>
      <c r="DC28" s="49">
        <v>0.70435694465575804</v>
      </c>
      <c r="DD28" s="49">
        <v>0.70149049879804304</v>
      </c>
      <c r="DE28" s="49">
        <v>0.78364507491731805</v>
      </c>
      <c r="DF28" s="49">
        <v>0.48157300103739298</v>
      </c>
      <c r="DG28" s="49">
        <v>0.96328960179812795</v>
      </c>
      <c r="DH28" s="49">
        <v>0.78760229696459705</v>
      </c>
      <c r="DI28" s="49">
        <v>0.90494070558102002</v>
      </c>
      <c r="DJ28" s="49">
        <v>0.79033774049781902</v>
      </c>
      <c r="DK28" s="49">
        <v>0.67179487179487196</v>
      </c>
      <c r="DL28" s="49">
        <v>0.60256410256410298</v>
      </c>
      <c r="DM28" s="49">
        <v>0.72820512820512795</v>
      </c>
      <c r="DN28" s="49">
        <v>0.39230769230769202</v>
      </c>
      <c r="DO28" s="49">
        <v>0.82472527472527501</v>
      </c>
      <c r="DP28" s="49">
        <v>0.72087912087912098</v>
      </c>
      <c r="DQ28" s="49">
        <v>0.83516483516483497</v>
      </c>
      <c r="DR28" s="49">
        <v>0.77289377289377303</v>
      </c>
      <c r="DS28" s="49">
        <v>1.6</v>
      </c>
      <c r="DT28" s="49">
        <v>1.67741935483871</v>
      </c>
      <c r="DU28" s="49">
        <v>1.61290322580645</v>
      </c>
      <c r="DV28" s="49">
        <v>1.5806451612903201</v>
      </c>
      <c r="DW28" s="49">
        <v>1.375</v>
      </c>
      <c r="DX28" s="49">
        <v>1.72727272727273</v>
      </c>
      <c r="DY28" s="49">
        <v>1.0882352941176501</v>
      </c>
      <c r="DZ28" s="49">
        <v>1.0882352941176501</v>
      </c>
      <c r="EA28" s="49">
        <v>39.836240225587296</v>
      </c>
      <c r="EB28" s="49">
        <v>14.150482752907701</v>
      </c>
      <c r="EC28" s="49">
        <v>5.7086603198354204</v>
      </c>
      <c r="ED28" s="49">
        <v>2.6913902304769799</v>
      </c>
      <c r="EE28" s="49">
        <v>181.998733791414</v>
      </c>
      <c r="EF28" s="49">
        <v>81.666296054271498</v>
      </c>
      <c r="EG28" s="49">
        <v>24.5494503169657</v>
      </c>
      <c r="EH28" s="49">
        <v>8.0392543759614892</v>
      </c>
      <c r="EI28" s="49">
        <v>4.5801650308533199</v>
      </c>
      <c r="EJ28" s="49">
        <v>415.27281204720799</v>
      </c>
      <c r="EK28" s="49">
        <v>0.218881963603346</v>
      </c>
      <c r="EL28" s="49">
        <v>7.7750446160385706E-2</v>
      </c>
      <c r="EM28" s="49">
        <v>3.1366483716189102E-2</v>
      </c>
      <c r="EN28" s="49">
        <v>1.4787961291871101E-2</v>
      </c>
      <c r="EO28" s="49">
        <v>0.19665697749793401</v>
      </c>
      <c r="EP28" s="49">
        <v>5.9116440096191297E-2</v>
      </c>
      <c r="EQ28" s="49">
        <v>1.9358971121489099E-2</v>
      </c>
      <c r="ER28" s="49">
        <v>1.10292918245094E-2</v>
      </c>
    </row>
    <row r="29" spans="1:148" ht="28" customHeight="1">
      <c r="A29" s="9">
        <v>42</v>
      </c>
      <c r="B29" s="9">
        <f t="shared" si="0"/>
        <v>28</v>
      </c>
      <c r="C29">
        <v>28</v>
      </c>
      <c r="D29" s="9" t="s">
        <v>91</v>
      </c>
      <c r="E29" s="20">
        <v>67122126</v>
      </c>
      <c r="F29" s="37">
        <v>32.285714285714285</v>
      </c>
      <c r="G29" s="20">
        <v>3</v>
      </c>
      <c r="H29" s="23" t="s">
        <v>74</v>
      </c>
      <c r="I29" s="24">
        <f t="shared" si="1"/>
        <v>36</v>
      </c>
      <c r="J29" s="25" t="s">
        <v>534</v>
      </c>
      <c r="K29" s="9">
        <v>3</v>
      </c>
      <c r="L29" s="9">
        <v>2</v>
      </c>
      <c r="M29" s="23" t="s">
        <v>9</v>
      </c>
      <c r="N29" s="17">
        <v>8644</v>
      </c>
      <c r="O29" s="45">
        <v>96.390559925960204</v>
      </c>
      <c r="P29" s="17">
        <v>5</v>
      </c>
      <c r="Q29" s="17">
        <v>2</v>
      </c>
      <c r="R29" s="18">
        <v>45510</v>
      </c>
      <c r="S29" s="9">
        <v>2</v>
      </c>
      <c r="T29" s="9">
        <v>4</v>
      </c>
      <c r="U29" s="9">
        <v>28</v>
      </c>
      <c r="V29" s="9">
        <v>32</v>
      </c>
      <c r="W29" s="9">
        <v>9</v>
      </c>
      <c r="X29" s="9">
        <v>10</v>
      </c>
      <c r="Y29" s="9">
        <v>10</v>
      </c>
      <c r="Z29" s="9">
        <v>7</v>
      </c>
      <c r="AA29" s="9">
        <v>2</v>
      </c>
      <c r="AB29" s="9">
        <v>1</v>
      </c>
      <c r="AC29" s="9">
        <v>8</v>
      </c>
      <c r="AD29" s="9">
        <v>9</v>
      </c>
      <c r="AE29" s="9">
        <v>1</v>
      </c>
      <c r="AF29" s="9">
        <v>2</v>
      </c>
      <c r="AG29" s="9">
        <v>2</v>
      </c>
      <c r="AH29" s="9">
        <v>2</v>
      </c>
      <c r="AI29" s="9">
        <v>1</v>
      </c>
      <c r="AJ29" s="9">
        <v>1</v>
      </c>
      <c r="AK29" s="9">
        <v>1</v>
      </c>
      <c r="AL29" s="9">
        <v>27</v>
      </c>
      <c r="AM29" s="9">
        <v>3</v>
      </c>
      <c r="AN29" s="9">
        <v>1</v>
      </c>
      <c r="AO29" s="9">
        <v>1</v>
      </c>
      <c r="AP29" s="31" t="s">
        <v>390</v>
      </c>
      <c r="AQ29" s="17" t="s">
        <v>391</v>
      </c>
      <c r="AR29" s="9" t="s">
        <v>125</v>
      </c>
      <c r="AS29" s="9">
        <v>1</v>
      </c>
      <c r="AT29" s="9">
        <v>2</v>
      </c>
      <c r="AU29" s="9">
        <v>1</v>
      </c>
      <c r="AV29" s="9">
        <v>39</v>
      </c>
      <c r="AW29" s="9">
        <v>0</v>
      </c>
      <c r="AX29" s="37">
        <f t="shared" si="2"/>
        <v>39</v>
      </c>
      <c r="AY29" s="9">
        <v>1500</v>
      </c>
      <c r="AZ29" s="9">
        <v>2</v>
      </c>
      <c r="BA29" s="9">
        <v>3</v>
      </c>
      <c r="BB29" s="9">
        <v>41</v>
      </c>
      <c r="BC29" s="9">
        <v>3</v>
      </c>
      <c r="BD29" s="9">
        <v>29</v>
      </c>
      <c r="BE29" s="9">
        <v>3</v>
      </c>
      <c r="BF29" s="9">
        <v>2400</v>
      </c>
      <c r="BG29" s="9">
        <v>2</v>
      </c>
      <c r="BH29" s="9">
        <v>48</v>
      </c>
      <c r="BI29" s="9">
        <v>3</v>
      </c>
      <c r="BJ29" s="9">
        <v>33</v>
      </c>
      <c r="BK29" s="9">
        <v>3</v>
      </c>
      <c r="BL29" s="9">
        <v>1</v>
      </c>
      <c r="BN29" s="9">
        <v>1</v>
      </c>
      <c r="BP29" s="9">
        <v>1</v>
      </c>
      <c r="BR29" s="9">
        <v>2</v>
      </c>
      <c r="BS29" s="9">
        <v>1</v>
      </c>
      <c r="BT29" s="42">
        <v>45471</v>
      </c>
      <c r="BU29" s="35">
        <v>45518</v>
      </c>
      <c r="BV29" s="9">
        <v>2</v>
      </c>
      <c r="BW29" s="9">
        <v>1</v>
      </c>
      <c r="BX29" s="9">
        <v>0</v>
      </c>
      <c r="BY29" s="9">
        <v>2</v>
      </c>
      <c r="BZ29" s="9">
        <v>32</v>
      </c>
      <c r="CA29" s="9">
        <v>1</v>
      </c>
      <c r="CB29" s="18">
        <v>45471</v>
      </c>
      <c r="CC29" s="18">
        <v>45492</v>
      </c>
      <c r="CD29" s="9">
        <v>22</v>
      </c>
      <c r="CE29" s="49">
        <v>0.27441842440526198</v>
      </c>
      <c r="CF29" s="49">
        <v>0.30236028064947801</v>
      </c>
      <c r="CG29" s="49">
        <v>0.29241468086695199</v>
      </c>
      <c r="CH29" s="49">
        <v>0.28130013918812202</v>
      </c>
      <c r="CI29" s="49">
        <v>0.434088589746563</v>
      </c>
      <c r="CJ29" s="49">
        <v>0.38673324895271899</v>
      </c>
      <c r="CK29" s="49">
        <v>0.39331875283489298</v>
      </c>
      <c r="CL29" s="49">
        <v>0.39282479542684801</v>
      </c>
      <c r="CM29" s="49">
        <v>0.49022561236288098</v>
      </c>
      <c r="CN29" s="49">
        <v>0.34937169909430799</v>
      </c>
      <c r="CO29" s="49">
        <v>0.34067789004521398</v>
      </c>
      <c r="CP29" s="49">
        <v>0.32754746498831799</v>
      </c>
      <c r="CQ29" s="49">
        <v>0.61472136255116006</v>
      </c>
      <c r="CR29" s="49">
        <v>0.47043896507288802</v>
      </c>
      <c r="CS29" s="49">
        <v>0.55098827872276102</v>
      </c>
      <c r="CT29" s="49">
        <v>0.450297394580079</v>
      </c>
      <c r="CU29" s="49">
        <v>0.52393939393939404</v>
      </c>
      <c r="CV29" s="49">
        <v>0.50757575757575801</v>
      </c>
      <c r="CW29" s="49">
        <v>0.50757575757575801</v>
      </c>
      <c r="CX29" s="49">
        <v>0.50757575757575801</v>
      </c>
      <c r="CY29" s="49">
        <v>0.71969696969696995</v>
      </c>
      <c r="CZ29" s="49">
        <v>0.71969696969696995</v>
      </c>
      <c r="DA29" s="49">
        <v>0.67735042735042705</v>
      </c>
      <c r="DB29" s="49">
        <v>0.68162393162393198</v>
      </c>
      <c r="DC29" s="49">
        <v>0.64253113249392801</v>
      </c>
      <c r="DD29" s="49">
        <v>0.48284440902911702</v>
      </c>
      <c r="DE29" s="49">
        <v>0.48284440902911702</v>
      </c>
      <c r="DF29" s="49">
        <v>0.48284440902911702</v>
      </c>
      <c r="DG29" s="49">
        <v>0.86147959041894795</v>
      </c>
      <c r="DH29" s="49">
        <v>0.72997105143444596</v>
      </c>
      <c r="DI29" s="49">
        <v>0.92944135687025697</v>
      </c>
      <c r="DJ29" s="49">
        <v>0.77051172895250797</v>
      </c>
      <c r="DK29" s="49">
        <v>0.512820512820513</v>
      </c>
      <c r="DL29" s="49">
        <v>0.42307692307692302</v>
      </c>
      <c r="DM29" s="49">
        <v>0.42307692307692302</v>
      </c>
      <c r="DN29" s="49">
        <v>0.42307692307692302</v>
      </c>
      <c r="DO29" s="49">
        <v>0.64450549450549399</v>
      </c>
      <c r="DP29" s="49">
        <v>0.60299145299145296</v>
      </c>
      <c r="DQ29" s="49">
        <v>0.83064713064713103</v>
      </c>
      <c r="DR29" s="49">
        <v>0.69572649572649603</v>
      </c>
      <c r="DS29" s="49">
        <v>2.78181818181818</v>
      </c>
      <c r="DT29" s="49">
        <v>2.6969696969696999</v>
      </c>
      <c r="DU29" s="49">
        <v>2.6969696969696999</v>
      </c>
      <c r="DV29" s="49">
        <v>2.6969696969696999</v>
      </c>
      <c r="DW29" s="49">
        <v>1.62121212121212</v>
      </c>
      <c r="DX29" s="49">
        <v>1.62121212121212</v>
      </c>
      <c r="DY29" s="49">
        <v>1.7307692307692299</v>
      </c>
      <c r="DZ29" s="49">
        <v>1.70512820512821</v>
      </c>
      <c r="EA29" s="49">
        <v>36.500168709703402</v>
      </c>
      <c r="EB29" s="49">
        <v>8.1812016801560397</v>
      </c>
      <c r="EC29" s="49">
        <v>2.9220596035093598</v>
      </c>
      <c r="ED29" s="49">
        <v>1.79720205953423</v>
      </c>
      <c r="EE29" s="49">
        <v>187.15324494126301</v>
      </c>
      <c r="EF29" s="49">
        <v>56.337745085956897</v>
      </c>
      <c r="EG29" s="49">
        <v>8.9531991168706906</v>
      </c>
      <c r="EH29" s="49">
        <v>3.5011389711290799</v>
      </c>
      <c r="EI29" s="49">
        <v>2.6105077598916</v>
      </c>
      <c r="EJ29" s="49">
        <v>235.141113802533</v>
      </c>
      <c r="EK29" s="49">
        <v>0.19502824394606999</v>
      </c>
      <c r="EL29" s="49">
        <v>4.3713918413349699E-2</v>
      </c>
      <c r="EM29" s="49">
        <v>1.56131923035928E-2</v>
      </c>
      <c r="EN29" s="49">
        <v>9.60283675604056E-3</v>
      </c>
      <c r="EO29" s="49">
        <v>0.23959121471742401</v>
      </c>
      <c r="EP29" s="49">
        <v>3.8075855693995797E-2</v>
      </c>
      <c r="EQ29" s="49">
        <v>1.4889522782771499E-2</v>
      </c>
      <c r="ER29" s="49">
        <v>1.11018771565565E-2</v>
      </c>
    </row>
    <row r="30" spans="1:148" ht="28" customHeight="1">
      <c r="A30" s="9">
        <v>43</v>
      </c>
      <c r="B30" s="9">
        <f t="shared" si="0"/>
        <v>29</v>
      </c>
      <c r="C30">
        <v>29</v>
      </c>
      <c r="D30" s="9" t="s">
        <v>119</v>
      </c>
      <c r="E30" s="20">
        <v>67122128</v>
      </c>
      <c r="F30" s="37">
        <v>32.285714285714285</v>
      </c>
      <c r="G30" s="20">
        <v>3</v>
      </c>
      <c r="H30" s="23" t="s">
        <v>13</v>
      </c>
      <c r="I30" s="24">
        <f t="shared" si="1"/>
        <v>39</v>
      </c>
      <c r="J30" s="25" t="s">
        <v>528</v>
      </c>
      <c r="K30" s="9">
        <v>3</v>
      </c>
      <c r="L30" s="9">
        <v>2</v>
      </c>
      <c r="M30" s="23" t="s">
        <v>9</v>
      </c>
      <c r="N30" s="17">
        <v>6276</v>
      </c>
      <c r="O30" s="45">
        <v>52.007648183556412</v>
      </c>
      <c r="P30" s="17">
        <v>4</v>
      </c>
      <c r="Q30" s="17">
        <v>2</v>
      </c>
      <c r="R30" s="18">
        <v>45504</v>
      </c>
      <c r="S30" s="9">
        <v>2</v>
      </c>
      <c r="T30" s="9">
        <v>5</v>
      </c>
      <c r="U30" s="9">
        <v>29</v>
      </c>
      <c r="V30" s="9">
        <v>34</v>
      </c>
      <c r="W30" s="9">
        <v>6</v>
      </c>
      <c r="X30" s="9">
        <v>14</v>
      </c>
      <c r="Y30" s="9">
        <v>14</v>
      </c>
      <c r="Z30" s="9">
        <v>7</v>
      </c>
      <c r="AA30" s="9">
        <v>2</v>
      </c>
      <c r="AB30" s="9">
        <v>1</v>
      </c>
      <c r="AC30" s="9">
        <v>7</v>
      </c>
      <c r="AD30" s="9">
        <v>8</v>
      </c>
      <c r="AE30" s="9">
        <v>1</v>
      </c>
      <c r="AF30" s="9">
        <v>2</v>
      </c>
      <c r="AG30" s="9">
        <v>2</v>
      </c>
      <c r="AH30" s="9">
        <v>2</v>
      </c>
      <c r="AI30" s="9">
        <v>1</v>
      </c>
      <c r="AJ30" s="9">
        <v>1</v>
      </c>
      <c r="AK30" s="9">
        <v>1</v>
      </c>
      <c r="AL30" s="9">
        <v>27</v>
      </c>
      <c r="AM30" s="9">
        <v>3</v>
      </c>
      <c r="AN30" s="9">
        <v>1</v>
      </c>
      <c r="AO30" s="9">
        <v>1</v>
      </c>
      <c r="AP30" s="31" t="s">
        <v>392</v>
      </c>
      <c r="AQ30" s="9" t="s">
        <v>127</v>
      </c>
      <c r="AR30" s="9" t="s">
        <v>126</v>
      </c>
      <c r="AS30" s="9">
        <v>1</v>
      </c>
      <c r="AT30" s="9">
        <v>2</v>
      </c>
      <c r="AU30" s="9">
        <v>1</v>
      </c>
      <c r="AV30" s="9">
        <v>38</v>
      </c>
      <c r="AW30" s="9">
        <v>0</v>
      </c>
      <c r="AX30" s="37">
        <f t="shared" si="2"/>
        <v>38</v>
      </c>
      <c r="AY30" s="9">
        <v>1520</v>
      </c>
      <c r="AZ30" s="9">
        <v>3</v>
      </c>
      <c r="BA30" s="9">
        <v>3</v>
      </c>
      <c r="BB30" s="9">
        <v>42</v>
      </c>
      <c r="BC30" s="9">
        <v>3</v>
      </c>
      <c r="BD30" s="9">
        <v>29</v>
      </c>
      <c r="BE30" s="9">
        <v>3</v>
      </c>
      <c r="BF30" s="9">
        <v>1990</v>
      </c>
      <c r="BG30" s="9">
        <v>1</v>
      </c>
      <c r="BH30" s="9">
        <v>46</v>
      </c>
      <c r="BI30" s="9">
        <v>2</v>
      </c>
      <c r="BJ30" s="9">
        <v>33</v>
      </c>
      <c r="BK30" s="9">
        <v>3</v>
      </c>
      <c r="BL30" s="9">
        <v>1</v>
      </c>
      <c r="BN30" s="9">
        <v>1</v>
      </c>
      <c r="BP30" s="9">
        <v>1</v>
      </c>
      <c r="BR30" s="9">
        <v>2</v>
      </c>
      <c r="BS30" s="9">
        <v>1</v>
      </c>
      <c r="BT30" s="42">
        <v>45471</v>
      </c>
      <c r="BU30" s="32">
        <v>45511</v>
      </c>
      <c r="BV30" s="9">
        <v>2</v>
      </c>
      <c r="BW30" s="9">
        <v>1</v>
      </c>
      <c r="BX30" s="9">
        <v>0</v>
      </c>
      <c r="BY30" s="9">
        <v>1</v>
      </c>
      <c r="BZ30" s="9">
        <v>0</v>
      </c>
      <c r="CA30" s="9">
        <v>1</v>
      </c>
      <c r="CB30" s="18">
        <v>45472</v>
      </c>
      <c r="CC30" s="18">
        <v>45492</v>
      </c>
      <c r="CD30" s="9">
        <v>21</v>
      </c>
      <c r="CE30" s="49">
        <v>0.32566325822347802</v>
      </c>
      <c r="CF30" s="49">
        <v>0.27811700228901298</v>
      </c>
      <c r="CG30" s="49">
        <v>0.25781040677223399</v>
      </c>
      <c r="CH30" s="49">
        <v>0.284661308547145</v>
      </c>
      <c r="CI30" s="49">
        <v>0.47787081085491401</v>
      </c>
      <c r="CJ30" s="49">
        <v>0.42728060769269899</v>
      </c>
      <c r="CK30" s="49">
        <v>0.40074380819240901</v>
      </c>
      <c r="CL30" s="49">
        <v>0.37775153094665198</v>
      </c>
      <c r="CM30" s="49">
        <v>0.22452211299689701</v>
      </c>
      <c r="CN30" s="49">
        <v>0.45941083713978398</v>
      </c>
      <c r="CO30" s="49">
        <v>0.42197798704178002</v>
      </c>
      <c r="CP30" s="49">
        <v>0.18630085355734</v>
      </c>
      <c r="CQ30" s="49">
        <v>0.54321126390409802</v>
      </c>
      <c r="CR30" s="49">
        <v>0.584583696381892</v>
      </c>
      <c r="CS30" s="49">
        <v>0.56955090711803003</v>
      </c>
      <c r="CT30" s="49">
        <v>0.54877900235826205</v>
      </c>
      <c r="CU30" s="49">
        <v>0.4628663003663</v>
      </c>
      <c r="CV30" s="49">
        <v>0.49116161616161602</v>
      </c>
      <c r="CW30" s="49">
        <v>0.49116161616161602</v>
      </c>
      <c r="CX30" s="49">
        <v>0.46648351648351699</v>
      </c>
      <c r="CY30" s="49">
        <v>0.68589743589743601</v>
      </c>
      <c r="CZ30" s="49">
        <v>0.68589743589743601</v>
      </c>
      <c r="DA30" s="49">
        <v>0.670940170940171</v>
      </c>
      <c r="DB30" s="49">
        <v>0.66239316239316204</v>
      </c>
      <c r="DC30" s="49">
        <v>0.30769230769230799</v>
      </c>
      <c r="DD30" s="49">
        <v>0.67155258433272202</v>
      </c>
      <c r="DE30" s="49">
        <v>0.67155258433272202</v>
      </c>
      <c r="DF30" s="49">
        <v>0.30769230769230799</v>
      </c>
      <c r="DG30" s="49">
        <v>0.77597983309427099</v>
      </c>
      <c r="DH30" s="49">
        <v>0.93490931344047301</v>
      </c>
      <c r="DI30" s="49">
        <v>0.94379212472704099</v>
      </c>
      <c r="DJ30" s="49">
        <v>0.94740873801663905</v>
      </c>
      <c r="DK30" s="49">
        <v>0.30769230769230799</v>
      </c>
      <c r="DL30" s="49">
        <v>0.64102564102564097</v>
      </c>
      <c r="DM30" s="49">
        <v>0.64102564102564097</v>
      </c>
      <c r="DN30" s="49">
        <v>0.30769230769230799</v>
      </c>
      <c r="DO30" s="49">
        <v>0.62557997557997602</v>
      </c>
      <c r="DP30" s="49">
        <v>0.71489621489621502</v>
      </c>
      <c r="DQ30" s="49">
        <v>0.74737484737484805</v>
      </c>
      <c r="DR30" s="49">
        <v>0.76752136752136801</v>
      </c>
      <c r="DS30" s="49">
        <v>3.12820512820513</v>
      </c>
      <c r="DT30" s="49">
        <v>2.89393939393939</v>
      </c>
      <c r="DU30" s="49">
        <v>2.89393939393939</v>
      </c>
      <c r="DV30" s="49">
        <v>3.0384615384615401</v>
      </c>
      <c r="DW30" s="49">
        <v>1.67948717948718</v>
      </c>
      <c r="DX30" s="49">
        <v>1.67948717948718</v>
      </c>
      <c r="DY30" s="49">
        <v>1.7692307692307701</v>
      </c>
      <c r="DZ30" s="49">
        <v>1.8333333333333299</v>
      </c>
      <c r="EA30" s="49">
        <v>31.006709288228599</v>
      </c>
      <c r="EB30" s="49">
        <v>7.0371036250188501</v>
      </c>
      <c r="EC30" s="49">
        <v>3.1026266648872198</v>
      </c>
      <c r="ED30" s="49">
        <v>1.8621944367763501</v>
      </c>
      <c r="EE30" s="49">
        <v>138.48935839823599</v>
      </c>
      <c r="EF30" s="49">
        <v>37.541280694323603</v>
      </c>
      <c r="EG30" s="49">
        <v>7.5255654839804897</v>
      </c>
      <c r="EH30" s="49">
        <v>2.9219291530248701</v>
      </c>
      <c r="EI30" s="49">
        <v>2.22120413197755</v>
      </c>
      <c r="EJ30" s="49">
        <v>164.47794730073699</v>
      </c>
      <c r="EK30" s="49">
        <v>0.22389236001127599</v>
      </c>
      <c r="EL30" s="49">
        <v>5.0813316679416902E-2</v>
      </c>
      <c r="EM30" s="49">
        <v>2.2403357924190799E-2</v>
      </c>
      <c r="EN30" s="49">
        <v>1.34464803528187E-2</v>
      </c>
      <c r="EO30" s="49">
        <v>0.228245070603184</v>
      </c>
      <c r="EP30" s="49">
        <v>4.5754252211212799E-2</v>
      </c>
      <c r="EQ30" s="49">
        <v>1.7764868792302699E-2</v>
      </c>
      <c r="ER30" s="49">
        <v>1.35045710894982E-2</v>
      </c>
    </row>
    <row r="31" spans="1:148" ht="28" customHeight="1">
      <c r="A31" s="9">
        <v>54</v>
      </c>
      <c r="B31" s="9">
        <f t="shared" si="0"/>
        <v>30</v>
      </c>
      <c r="C31">
        <v>30</v>
      </c>
      <c r="D31" s="9" t="s">
        <v>189</v>
      </c>
      <c r="E31" s="9">
        <v>67178597</v>
      </c>
      <c r="F31" s="37">
        <v>33.571428571428569</v>
      </c>
      <c r="G31" s="20">
        <v>3</v>
      </c>
      <c r="H31" s="20" t="s">
        <v>49</v>
      </c>
      <c r="I31" s="20">
        <f t="shared" si="1"/>
        <v>39</v>
      </c>
      <c r="J31" s="20" t="s">
        <v>547</v>
      </c>
      <c r="K31" s="9">
        <v>3</v>
      </c>
      <c r="L31" s="9">
        <v>2</v>
      </c>
      <c r="M31" s="20" t="s">
        <v>50</v>
      </c>
      <c r="N31" s="17">
        <v>9760</v>
      </c>
      <c r="O31" s="45">
        <v>68.114754098360649</v>
      </c>
      <c r="P31" s="17">
        <v>4</v>
      </c>
      <c r="Q31" s="17">
        <v>2</v>
      </c>
      <c r="R31" s="18">
        <v>45556</v>
      </c>
      <c r="S31" s="9">
        <v>2</v>
      </c>
      <c r="T31" s="9">
        <v>0</v>
      </c>
      <c r="U31" s="9">
        <v>7</v>
      </c>
      <c r="V31" s="9">
        <v>7</v>
      </c>
      <c r="W31" s="9">
        <v>6</v>
      </c>
      <c r="X31" s="9">
        <v>1</v>
      </c>
      <c r="Y31" s="9">
        <v>7</v>
      </c>
      <c r="Z31" s="9">
        <v>11</v>
      </c>
      <c r="AA31" s="9">
        <v>2</v>
      </c>
      <c r="AB31" s="9">
        <v>1</v>
      </c>
      <c r="AC31" s="9">
        <v>8</v>
      </c>
      <c r="AD31" s="9">
        <v>7</v>
      </c>
      <c r="AE31" s="9">
        <v>1</v>
      </c>
      <c r="AF31" s="9">
        <v>2</v>
      </c>
      <c r="AG31" s="9">
        <v>1</v>
      </c>
      <c r="AH31" s="9">
        <v>2</v>
      </c>
      <c r="AI31" s="9">
        <v>2</v>
      </c>
      <c r="AJ31" s="9">
        <v>1</v>
      </c>
      <c r="AK31" s="9">
        <v>1</v>
      </c>
      <c r="AL31" s="9">
        <v>30</v>
      </c>
      <c r="AM31" s="9">
        <v>2</v>
      </c>
      <c r="AN31" s="9">
        <v>1</v>
      </c>
      <c r="AO31" s="9" t="s">
        <v>345</v>
      </c>
      <c r="AP31" s="31" t="s">
        <v>404</v>
      </c>
      <c r="AQ31" s="31" t="s">
        <v>405</v>
      </c>
      <c r="AR31" s="9" t="s">
        <v>194</v>
      </c>
      <c r="AS31" s="9">
        <v>1</v>
      </c>
      <c r="AT31" s="9">
        <v>2</v>
      </c>
      <c r="AU31" s="9">
        <v>1</v>
      </c>
      <c r="AV31" s="9">
        <v>40</v>
      </c>
      <c r="AW31" s="9">
        <v>0</v>
      </c>
      <c r="AX31" s="37">
        <f t="shared" si="2"/>
        <v>40</v>
      </c>
      <c r="AY31" s="9">
        <v>1435</v>
      </c>
      <c r="AZ31" s="9">
        <v>2</v>
      </c>
      <c r="BA31" s="9">
        <v>2</v>
      </c>
      <c r="BB31" s="9">
        <v>38</v>
      </c>
      <c r="BC31" s="9">
        <v>1</v>
      </c>
      <c r="BD31" s="9">
        <v>29</v>
      </c>
      <c r="BE31" s="9">
        <v>3</v>
      </c>
      <c r="BF31" s="9">
        <v>2230</v>
      </c>
      <c r="BG31" s="9">
        <v>1</v>
      </c>
      <c r="BH31" s="9">
        <v>46</v>
      </c>
      <c r="BI31" s="9">
        <v>1</v>
      </c>
      <c r="BJ31" s="9">
        <v>33</v>
      </c>
      <c r="BK31" s="9">
        <v>2</v>
      </c>
      <c r="BL31" s="9">
        <v>1</v>
      </c>
      <c r="BN31" s="9">
        <v>1</v>
      </c>
      <c r="BP31" s="9">
        <v>1</v>
      </c>
      <c r="BR31" s="9">
        <v>1</v>
      </c>
      <c r="BS31" s="9">
        <v>1</v>
      </c>
      <c r="BT31" s="42">
        <v>45520</v>
      </c>
      <c r="BU31" s="35">
        <v>45566</v>
      </c>
      <c r="BV31" s="9">
        <v>1</v>
      </c>
      <c r="BW31" s="9">
        <v>1</v>
      </c>
      <c r="BX31" s="9">
        <v>0</v>
      </c>
      <c r="BY31" s="9">
        <v>2</v>
      </c>
      <c r="BZ31" s="9">
        <v>38</v>
      </c>
      <c r="CA31" s="9">
        <v>1</v>
      </c>
      <c r="CB31" s="18"/>
      <c r="CC31" s="18"/>
      <c r="CD31" s="9">
        <v>0</v>
      </c>
      <c r="CE31" s="49">
        <v>0.26680605453866901</v>
      </c>
      <c r="CF31" s="49">
        <v>0.27154539947281597</v>
      </c>
      <c r="CG31" s="49">
        <v>0.25996930838333798</v>
      </c>
      <c r="CH31" s="49">
        <v>0.25564584930384399</v>
      </c>
      <c r="CI31" s="49">
        <v>0.404047955382559</v>
      </c>
      <c r="CJ31" s="49">
        <v>0.45147730746843701</v>
      </c>
      <c r="CK31" s="49">
        <v>0.51389207595666797</v>
      </c>
      <c r="CL31" s="49">
        <v>0.51089906118807304</v>
      </c>
      <c r="CM31" s="49">
        <v>0.30041951817086698</v>
      </c>
      <c r="CN31" s="49">
        <v>0.28130806170988998</v>
      </c>
      <c r="CO31" s="49">
        <v>0.33895928917006402</v>
      </c>
      <c r="CP31" s="49">
        <v>0.32716733027804101</v>
      </c>
      <c r="CQ31" s="49">
        <v>0.55275808652107705</v>
      </c>
      <c r="CR31" s="49">
        <v>0.45311086421947</v>
      </c>
      <c r="CS31" s="49">
        <v>0.50805866417836398</v>
      </c>
      <c r="CT31" s="49">
        <v>0.63502929036558997</v>
      </c>
      <c r="CU31" s="49">
        <v>0.69212962962962998</v>
      </c>
      <c r="CV31" s="49">
        <v>0.624074074074074</v>
      </c>
      <c r="CW31" s="49">
        <v>0.61481481481481504</v>
      </c>
      <c r="CX31" s="49">
        <v>0.61481481481481504</v>
      </c>
      <c r="CY31" s="49">
        <v>0.844444444444444</v>
      </c>
      <c r="CZ31" s="49">
        <v>0.71085858585858597</v>
      </c>
      <c r="DA31" s="49">
        <v>0.67948717948717996</v>
      </c>
      <c r="DB31" s="49">
        <v>0.68162393162393198</v>
      </c>
      <c r="DC31" s="49">
        <v>0.35820309850191201</v>
      </c>
      <c r="DD31" s="49">
        <v>0.36882695679385302</v>
      </c>
      <c r="DE31" s="49">
        <v>0.45164196040721599</v>
      </c>
      <c r="DF31" s="49">
        <v>0.45164196040721599</v>
      </c>
      <c r="DG31" s="49">
        <v>0.66916826938170704</v>
      </c>
      <c r="DH31" s="49">
        <v>0.60231969077306502</v>
      </c>
      <c r="DI31" s="49">
        <v>0.68013852929063801</v>
      </c>
      <c r="DJ31" s="49">
        <v>0.85150775679968005</v>
      </c>
      <c r="DK31" s="49">
        <v>0.32564102564102598</v>
      </c>
      <c r="DL31" s="49">
        <v>0.31794871794871798</v>
      </c>
      <c r="DM31" s="49">
        <v>0.36923076923076897</v>
      </c>
      <c r="DN31" s="49">
        <v>0.36923076923076897</v>
      </c>
      <c r="DO31" s="49">
        <v>0.64590964590964595</v>
      </c>
      <c r="DP31" s="49">
        <v>0.54383394383394401</v>
      </c>
      <c r="DQ31" s="49">
        <v>0.57606837606837602</v>
      </c>
      <c r="DR31" s="49">
        <v>0.69450549450549504</v>
      </c>
      <c r="DS31" s="49">
        <v>1.75</v>
      </c>
      <c r="DT31" s="49">
        <v>2</v>
      </c>
      <c r="DU31" s="49">
        <v>2.06666666666667</v>
      </c>
      <c r="DV31" s="49">
        <v>2.06666666666667</v>
      </c>
      <c r="DW31" s="49">
        <v>1.31111111111111</v>
      </c>
      <c r="DX31" s="49">
        <v>1.6818181818181801</v>
      </c>
      <c r="DY31" s="49">
        <v>1.7179487179487201</v>
      </c>
      <c r="DZ31" s="49">
        <v>1.70512820512821</v>
      </c>
      <c r="EA31" s="49">
        <v>58.4413805007744</v>
      </c>
      <c r="EB31" s="49">
        <v>12.1813139944702</v>
      </c>
      <c r="EC31" s="49">
        <v>4.22636589060623</v>
      </c>
      <c r="ED31" s="49">
        <v>2.09258683539983</v>
      </c>
      <c r="EE31" s="49">
        <v>281.06568197708401</v>
      </c>
      <c r="EF31" s="49">
        <v>65.943463927245801</v>
      </c>
      <c r="EG31" s="49">
        <v>19.457385331773299</v>
      </c>
      <c r="EH31" s="49">
        <v>7.28177128801652</v>
      </c>
      <c r="EI31" s="49">
        <v>4.1707671112143903</v>
      </c>
      <c r="EJ31" s="49">
        <v>290.82622835975002</v>
      </c>
      <c r="EK31" s="49">
        <v>0.207927841242245</v>
      </c>
      <c r="EL31" s="49">
        <v>4.33397414753161E-2</v>
      </c>
      <c r="EM31" s="49">
        <v>1.50369332210071E-2</v>
      </c>
      <c r="EN31" s="49">
        <v>7.4451879741421001E-3</v>
      </c>
      <c r="EO31" s="49">
        <v>0.22674524336805699</v>
      </c>
      <c r="EP31" s="49">
        <v>6.6903818962657902E-2</v>
      </c>
      <c r="EQ31" s="49">
        <v>2.50382206896725E-2</v>
      </c>
      <c r="ER31" s="49">
        <v>1.4341096863021501E-2</v>
      </c>
    </row>
    <row r="32" spans="1:148" ht="28" customHeight="1">
      <c r="A32" s="9">
        <v>3</v>
      </c>
      <c r="B32" s="9">
        <f t="shared" si="0"/>
        <v>31</v>
      </c>
      <c r="C32">
        <v>31</v>
      </c>
      <c r="D32" s="9" t="s">
        <v>87</v>
      </c>
      <c r="E32" s="9">
        <v>67201008</v>
      </c>
      <c r="F32" s="37">
        <v>32.142857142857146</v>
      </c>
      <c r="G32" s="20">
        <v>3</v>
      </c>
      <c r="H32" s="9" t="s">
        <v>24</v>
      </c>
      <c r="I32" s="9">
        <f t="shared" si="1"/>
        <v>33</v>
      </c>
      <c r="J32" s="9" t="s">
        <v>510</v>
      </c>
      <c r="K32" s="9">
        <v>2</v>
      </c>
      <c r="M32" s="9" t="s">
        <v>37</v>
      </c>
      <c r="N32" s="17">
        <v>8680</v>
      </c>
      <c r="O32" s="45">
        <v>8.3410138248847918</v>
      </c>
      <c r="P32" s="17">
        <v>2</v>
      </c>
      <c r="Q32" s="17">
        <v>1</v>
      </c>
      <c r="R32" s="18">
        <v>45584</v>
      </c>
      <c r="S32" s="9">
        <v>2</v>
      </c>
      <c r="T32" s="9">
        <v>0</v>
      </c>
      <c r="U32" s="9">
        <v>16</v>
      </c>
      <c r="V32" s="9">
        <v>16</v>
      </c>
      <c r="W32" s="9">
        <v>5</v>
      </c>
      <c r="X32" s="9">
        <v>19</v>
      </c>
      <c r="Y32" s="9">
        <v>8</v>
      </c>
      <c r="Z32" s="9">
        <v>12</v>
      </c>
      <c r="AA32" s="9">
        <v>2</v>
      </c>
      <c r="AB32" s="9">
        <v>2</v>
      </c>
      <c r="AC32" s="9">
        <v>8</v>
      </c>
      <c r="AD32" s="9">
        <v>10</v>
      </c>
      <c r="AE32" s="9">
        <v>1</v>
      </c>
      <c r="AF32" s="9">
        <v>1</v>
      </c>
      <c r="AG32" s="9">
        <v>1</v>
      </c>
      <c r="AH32" s="9">
        <v>2</v>
      </c>
      <c r="AI32" s="9">
        <v>2</v>
      </c>
      <c r="AJ32" s="9">
        <v>1</v>
      </c>
      <c r="AK32" s="9">
        <v>1</v>
      </c>
      <c r="AL32" s="9">
        <v>33</v>
      </c>
      <c r="AM32" s="9">
        <v>1</v>
      </c>
      <c r="AN32" s="9">
        <v>1</v>
      </c>
      <c r="AO32" s="17" t="s">
        <v>310</v>
      </c>
      <c r="AP32" s="9" t="s">
        <v>311</v>
      </c>
      <c r="AQ32" s="17" t="s">
        <v>346</v>
      </c>
      <c r="AR32" s="9" t="s">
        <v>139</v>
      </c>
      <c r="AS32" s="9">
        <v>1</v>
      </c>
      <c r="AT32" s="9">
        <v>2</v>
      </c>
      <c r="AU32" s="9">
        <v>1</v>
      </c>
      <c r="AV32" s="9">
        <v>39</v>
      </c>
      <c r="AW32" s="9">
        <v>1</v>
      </c>
      <c r="AX32" s="37">
        <f t="shared" si="2"/>
        <v>39.142857142857146</v>
      </c>
      <c r="AY32" s="9">
        <v>1330</v>
      </c>
      <c r="AZ32" s="9">
        <v>2</v>
      </c>
      <c r="BA32" s="9">
        <v>2</v>
      </c>
      <c r="BB32" s="9">
        <v>38</v>
      </c>
      <c r="BC32" s="9">
        <v>2</v>
      </c>
      <c r="BD32" s="9">
        <v>28</v>
      </c>
      <c r="BE32" s="9">
        <v>2</v>
      </c>
      <c r="BF32" s="9">
        <v>2110</v>
      </c>
      <c r="BG32" s="9">
        <v>1</v>
      </c>
      <c r="BH32" s="9">
        <v>47</v>
      </c>
      <c r="BI32" s="9">
        <v>2</v>
      </c>
      <c r="BJ32" s="9">
        <v>32</v>
      </c>
      <c r="BK32" s="9">
        <v>2</v>
      </c>
      <c r="BL32" s="9">
        <v>1</v>
      </c>
      <c r="BN32" s="9">
        <v>2</v>
      </c>
      <c r="BO32" s="9">
        <v>2</v>
      </c>
      <c r="BP32" s="9">
        <v>1</v>
      </c>
      <c r="BR32" s="9">
        <v>1</v>
      </c>
      <c r="BS32" s="9">
        <v>1</v>
      </c>
      <c r="BT32" s="18">
        <v>45545</v>
      </c>
      <c r="BU32" s="18">
        <v>45595</v>
      </c>
      <c r="BV32" s="9">
        <v>1</v>
      </c>
      <c r="BW32" s="9">
        <v>1</v>
      </c>
      <c r="BX32" s="9">
        <v>0</v>
      </c>
      <c r="BY32" s="9">
        <v>2</v>
      </c>
      <c r="BZ32" s="9">
        <v>34</v>
      </c>
      <c r="CA32" s="9">
        <v>1</v>
      </c>
      <c r="CB32" s="18">
        <v>45545</v>
      </c>
      <c r="CC32" s="18">
        <v>45561</v>
      </c>
      <c r="CD32" s="9">
        <v>17</v>
      </c>
      <c r="CE32" s="49">
        <v>0.27398956881165498</v>
      </c>
      <c r="CF32" s="49">
        <v>0.30083885323729298</v>
      </c>
      <c r="CG32" s="49">
        <v>0.25446586628103501</v>
      </c>
      <c r="CH32" s="49">
        <v>0.243020857740947</v>
      </c>
      <c r="CI32" s="49">
        <v>0.43125875600800501</v>
      </c>
      <c r="CJ32" s="49">
        <v>0.39744487174999699</v>
      </c>
      <c r="CK32" s="49">
        <v>0.39539809926290298</v>
      </c>
      <c r="CL32" s="49">
        <v>0.38206968082332798</v>
      </c>
      <c r="CM32" s="49">
        <v>0.224902522848554</v>
      </c>
      <c r="CN32" s="49">
        <v>0.304047107295286</v>
      </c>
      <c r="CO32" s="49">
        <v>0.41496405674107301</v>
      </c>
      <c r="CP32" s="49">
        <v>0.33580910201337</v>
      </c>
      <c r="CQ32" s="49">
        <v>0.61600613681965299</v>
      </c>
      <c r="CR32" s="49">
        <v>0.56055700952204301</v>
      </c>
      <c r="CS32" s="49">
        <v>0.54854433235822397</v>
      </c>
      <c r="CT32" s="49">
        <v>0.54521443728378205</v>
      </c>
      <c r="CU32" s="49">
        <v>0.55030303030303096</v>
      </c>
      <c r="CV32" s="49">
        <v>0.51060606060606095</v>
      </c>
      <c r="CW32" s="49">
        <v>0.62962962962962998</v>
      </c>
      <c r="CX32" s="49">
        <v>0.59481481481481502</v>
      </c>
      <c r="CY32" s="49">
        <v>0.71464646464646497</v>
      </c>
      <c r="CZ32" s="49">
        <v>0.71969696969696995</v>
      </c>
      <c r="DA32" s="49">
        <v>0.72222222222222199</v>
      </c>
      <c r="DB32" s="49">
        <v>0.71969696969696995</v>
      </c>
      <c r="DC32" s="49">
        <v>0.30916209983442999</v>
      </c>
      <c r="DD32" s="49">
        <v>0.42796284074297802</v>
      </c>
      <c r="DE32" s="49">
        <v>0.59242619868378699</v>
      </c>
      <c r="DF32" s="49">
        <v>0.47546761237597701</v>
      </c>
      <c r="DG32" s="49">
        <v>0.85671740881703995</v>
      </c>
      <c r="DH32" s="49">
        <v>0.85311766226400698</v>
      </c>
      <c r="DI32" s="49">
        <v>0.847355917523679</v>
      </c>
      <c r="DJ32" s="49">
        <v>0.86349101543907403</v>
      </c>
      <c r="DK32" s="49">
        <v>0.235897435897436</v>
      </c>
      <c r="DL32" s="49">
        <v>0.39743589743589702</v>
      </c>
      <c r="DM32" s="49">
        <v>0.44102564102564101</v>
      </c>
      <c r="DN32" s="49">
        <v>0.39230769230769202</v>
      </c>
      <c r="DO32" s="49">
        <v>0.63443223443223395</v>
      </c>
      <c r="DP32" s="49">
        <v>0.60402930402930399</v>
      </c>
      <c r="DQ32" s="49">
        <v>0.59084249084249096</v>
      </c>
      <c r="DR32" s="49">
        <v>0.66739926739926703</v>
      </c>
      <c r="DS32" s="49">
        <v>2.4545454545454501</v>
      </c>
      <c r="DT32" s="49">
        <v>2.7121212121212102</v>
      </c>
      <c r="DU32" s="49">
        <v>1.9777777777777801</v>
      </c>
      <c r="DV32" s="49">
        <v>2.2888888888888901</v>
      </c>
      <c r="DW32" s="49">
        <v>1.65151515151515</v>
      </c>
      <c r="DX32" s="49">
        <v>1.62121212121212</v>
      </c>
      <c r="DY32" s="49">
        <v>1.60606060606061</v>
      </c>
      <c r="DZ32" s="49">
        <v>1.62121212121212</v>
      </c>
      <c r="EA32" s="49">
        <v>41.879693991113399</v>
      </c>
      <c r="EB32" s="49">
        <v>18.520285382059502</v>
      </c>
      <c r="EC32" s="49">
        <v>7.5226907643671597</v>
      </c>
      <c r="ED32" s="49">
        <v>4.0863283751787201</v>
      </c>
      <c r="EE32" s="49">
        <v>199.82994376575499</v>
      </c>
      <c r="EF32" s="49">
        <v>83.807809947281697</v>
      </c>
      <c r="EG32" s="49">
        <v>23.5813244135228</v>
      </c>
      <c r="EH32" s="49">
        <v>9.2067478216091096</v>
      </c>
      <c r="EI32" s="49">
        <v>5.7446438833210998</v>
      </c>
      <c r="EJ32" s="49">
        <v>350.382419678264</v>
      </c>
      <c r="EK32" s="49">
        <v>0.20957666905118999</v>
      </c>
      <c r="EL32" s="49">
        <v>9.2680231165802499E-2</v>
      </c>
      <c r="EM32" s="49">
        <v>3.76454630502496E-2</v>
      </c>
      <c r="EN32" s="49">
        <v>2.0449029300477699E-2</v>
      </c>
      <c r="EO32" s="49">
        <v>0.23918954045764501</v>
      </c>
      <c r="EP32" s="49">
        <v>6.7301676936805499E-2</v>
      </c>
      <c r="EQ32" s="49">
        <v>2.6276283581987699E-2</v>
      </c>
      <c r="ER32" s="49">
        <v>1.6395354220671399E-2</v>
      </c>
    </row>
    <row r="33" spans="1:148" ht="28" customHeight="1">
      <c r="A33" s="17">
        <v>78</v>
      </c>
      <c r="B33" s="9">
        <f t="shared" si="0"/>
        <v>32</v>
      </c>
      <c r="C33">
        <v>32</v>
      </c>
      <c r="D33" s="9" t="s">
        <v>220</v>
      </c>
      <c r="E33" s="9">
        <v>67217267</v>
      </c>
      <c r="F33" s="37">
        <v>28.428571428571427</v>
      </c>
      <c r="G33" s="9">
        <v>2</v>
      </c>
      <c r="H33" s="18">
        <v>45609</v>
      </c>
      <c r="I33" s="9">
        <f t="shared" si="1"/>
        <v>64</v>
      </c>
      <c r="J33" s="9" t="s">
        <v>229</v>
      </c>
      <c r="K33" s="9">
        <v>2</v>
      </c>
      <c r="M33" s="18">
        <v>45545</v>
      </c>
      <c r="O33" s="45">
        <f>MEDIAN(O24:O32)</f>
        <v>81.481481481481481</v>
      </c>
      <c r="P33" s="17">
        <v>5</v>
      </c>
      <c r="Q33" s="17">
        <v>1</v>
      </c>
      <c r="R33" s="18">
        <v>45608</v>
      </c>
      <c r="S33" s="9">
        <v>2</v>
      </c>
      <c r="T33" s="9">
        <v>31</v>
      </c>
      <c r="U33" s="9">
        <v>2</v>
      </c>
      <c r="V33" s="9">
        <v>33</v>
      </c>
      <c r="W33" s="9">
        <v>16</v>
      </c>
      <c r="X33" s="9">
        <v>15</v>
      </c>
      <c r="Y33" s="9">
        <v>0</v>
      </c>
      <c r="Z33" s="9">
        <v>35</v>
      </c>
      <c r="AA33" s="9">
        <v>1</v>
      </c>
      <c r="AB33" s="9">
        <v>2</v>
      </c>
      <c r="AC33" s="9">
        <v>8</v>
      </c>
      <c r="AD33" s="9">
        <v>9</v>
      </c>
      <c r="AE33" s="9">
        <v>1</v>
      </c>
      <c r="AF33" s="9">
        <v>2</v>
      </c>
      <c r="AG33" s="9">
        <v>1</v>
      </c>
      <c r="AH33" s="9">
        <v>2</v>
      </c>
      <c r="AI33" s="9">
        <v>1</v>
      </c>
      <c r="AJ33" s="9">
        <v>1</v>
      </c>
      <c r="AK33" s="9">
        <v>1</v>
      </c>
      <c r="AL33" s="9">
        <v>34</v>
      </c>
      <c r="AM33" s="9">
        <v>2</v>
      </c>
      <c r="AN33" s="9">
        <v>1</v>
      </c>
      <c r="AO33" s="9" t="s">
        <v>489</v>
      </c>
      <c r="AP33" s="9" t="s">
        <v>490</v>
      </c>
      <c r="AQ33" s="9" t="s">
        <v>491</v>
      </c>
      <c r="AR33" s="9" t="s">
        <v>492</v>
      </c>
      <c r="AS33" s="9">
        <v>1</v>
      </c>
      <c r="AT33" s="9">
        <v>2</v>
      </c>
      <c r="AU33" s="9">
        <v>1</v>
      </c>
      <c r="AV33" s="9">
        <v>37</v>
      </c>
      <c r="AW33" s="9">
        <v>4</v>
      </c>
      <c r="AX33" s="37">
        <f t="shared" si="2"/>
        <v>37.571428571428569</v>
      </c>
      <c r="AY33" s="9">
        <v>1160</v>
      </c>
      <c r="AZ33" s="9">
        <v>2</v>
      </c>
      <c r="BA33" s="9">
        <v>3</v>
      </c>
      <c r="BB33" s="9">
        <v>38</v>
      </c>
      <c r="BC33" s="9">
        <v>3</v>
      </c>
      <c r="BD33" s="9">
        <v>28</v>
      </c>
      <c r="BE33" s="9">
        <v>3</v>
      </c>
      <c r="BF33" s="9">
        <v>2100</v>
      </c>
      <c r="BG33" s="9">
        <v>1</v>
      </c>
      <c r="BH33" s="9">
        <v>45</v>
      </c>
      <c r="BI33" s="9">
        <v>2</v>
      </c>
      <c r="BJ33" s="9">
        <v>33</v>
      </c>
      <c r="BK33" s="9">
        <v>3</v>
      </c>
      <c r="BL33" s="9">
        <v>2</v>
      </c>
      <c r="BM33" s="9">
        <v>4</v>
      </c>
      <c r="BN33" s="9">
        <v>2</v>
      </c>
      <c r="BO33" s="9">
        <v>2</v>
      </c>
      <c r="BP33" s="9">
        <v>2</v>
      </c>
      <c r="BQ33" s="9">
        <v>2</v>
      </c>
      <c r="BR33" s="9">
        <v>2</v>
      </c>
      <c r="BS33" s="9">
        <v>1</v>
      </c>
      <c r="BT33" s="18">
        <v>45566</v>
      </c>
      <c r="BU33" s="18">
        <v>45610</v>
      </c>
      <c r="BV33" s="9">
        <v>1</v>
      </c>
      <c r="BW33" s="9">
        <v>2</v>
      </c>
      <c r="BX33" s="9">
        <v>5</v>
      </c>
      <c r="BY33" s="9">
        <v>2</v>
      </c>
      <c r="BZ33" s="9">
        <v>89</v>
      </c>
      <c r="CA33" s="9">
        <v>1</v>
      </c>
      <c r="CB33" s="18"/>
      <c r="CC33" s="18"/>
      <c r="CD33" s="9">
        <v>0</v>
      </c>
      <c r="CE33" s="49">
        <v>0.21634072707462601</v>
      </c>
      <c r="CF33" s="49">
        <v>0.20476652517227101</v>
      </c>
      <c r="CG33" s="49">
        <v>0.20212881143294301</v>
      </c>
      <c r="CH33" s="49">
        <v>0.21462472801732299</v>
      </c>
      <c r="CI33" s="49">
        <v>0.40519665116069598</v>
      </c>
      <c r="CJ33" s="49">
        <v>0.39949185547652299</v>
      </c>
      <c r="CK33" s="49">
        <v>0.38774949063422798</v>
      </c>
      <c r="CL33" s="49">
        <v>0.39002760952648402</v>
      </c>
      <c r="CM33" s="49">
        <v>0.35509209926260898</v>
      </c>
      <c r="CN33" s="49">
        <v>0.31935083619988702</v>
      </c>
      <c r="CO33" s="49">
        <v>0.31366750309290398</v>
      </c>
      <c r="CP33" s="49">
        <v>0.2435050497197</v>
      </c>
      <c r="CQ33" s="49">
        <v>0.55006597054569095</v>
      </c>
      <c r="CR33" s="49">
        <v>0.50546919704729198</v>
      </c>
      <c r="CS33" s="49">
        <v>0.50507878716283505</v>
      </c>
      <c r="CT33" s="49">
        <v>0.50541122279253103</v>
      </c>
      <c r="CU33" s="49">
        <v>0.67342342342342298</v>
      </c>
      <c r="CV33" s="49">
        <v>0.58369565217391295</v>
      </c>
      <c r="CW33" s="49">
        <v>0.58369565217391295</v>
      </c>
      <c r="CX33" s="49">
        <v>0.52410714285714299</v>
      </c>
      <c r="CY33" s="49">
        <v>0.764880952380952</v>
      </c>
      <c r="CZ33" s="49">
        <v>0.76190476190476197</v>
      </c>
      <c r="DA33" s="49">
        <v>0.75</v>
      </c>
      <c r="DB33" s="49">
        <v>0.75892857142857095</v>
      </c>
      <c r="DC33" s="49">
        <v>0.52923358365948103</v>
      </c>
      <c r="DD33" s="49">
        <v>0.54694697313168095</v>
      </c>
      <c r="DE33" s="49">
        <v>0.54694697313168095</v>
      </c>
      <c r="DF33" s="49">
        <v>0.44078335356349102</v>
      </c>
      <c r="DG33" s="49">
        <v>0.74678322118051099</v>
      </c>
      <c r="DH33" s="49">
        <v>0.68828322517450202</v>
      </c>
      <c r="DI33" s="49">
        <v>0.69458265816854503</v>
      </c>
      <c r="DJ33" s="49">
        <v>0.70012129003321499</v>
      </c>
      <c r="DK33" s="49">
        <v>0.40256410256410302</v>
      </c>
      <c r="DL33" s="49">
        <v>0.487179487179487</v>
      </c>
      <c r="DM33" s="49">
        <v>0.487179487179487</v>
      </c>
      <c r="DN33" s="49">
        <v>0.41025641025641002</v>
      </c>
      <c r="DO33" s="49">
        <v>0.58315018315018297</v>
      </c>
      <c r="DP33" s="49">
        <v>0.50805860805860803</v>
      </c>
      <c r="DQ33" s="49">
        <v>0.55714285714285705</v>
      </c>
      <c r="DR33" s="49">
        <v>0.55439560439560398</v>
      </c>
      <c r="DS33" s="49">
        <v>1.86486486486487</v>
      </c>
      <c r="DT33" s="49">
        <v>2.3478260869565202</v>
      </c>
      <c r="DU33" s="49">
        <v>2.3478260869565202</v>
      </c>
      <c r="DV33" s="49">
        <v>2.75</v>
      </c>
      <c r="DW33" s="49">
        <v>1.5178571428571399</v>
      </c>
      <c r="DX33" s="49">
        <v>1.53571428571429</v>
      </c>
      <c r="DY33" s="49">
        <v>1.625</v>
      </c>
      <c r="DZ33" s="49">
        <v>1.5535714285714299</v>
      </c>
      <c r="EA33" s="49">
        <v>32.856471287857403</v>
      </c>
      <c r="EB33" s="49">
        <v>5.9534219007887197</v>
      </c>
      <c r="EC33" s="49">
        <v>2.0870365541551799</v>
      </c>
      <c r="ED33" s="49">
        <v>1.46680447598127</v>
      </c>
      <c r="EE33" s="49">
        <v>214.755810641398</v>
      </c>
      <c r="EF33" s="49">
        <v>36.353431669199203</v>
      </c>
      <c r="EG33" s="49">
        <v>9.50990544143386</v>
      </c>
      <c r="EH33" s="49">
        <v>3.7957923927330302</v>
      </c>
      <c r="EI33" s="49">
        <v>2.0770883502222501</v>
      </c>
      <c r="EJ33" s="49">
        <v>218.57390439708399</v>
      </c>
      <c r="EK33" s="49">
        <v>0.15299456247412899</v>
      </c>
      <c r="EL33" s="49">
        <v>2.7721819880020999E-2</v>
      </c>
      <c r="EM33" s="49">
        <v>9.7181843318789006E-3</v>
      </c>
      <c r="EN33" s="49">
        <v>6.8301037890451501E-3</v>
      </c>
      <c r="EO33" s="49">
        <v>0.166321006020718</v>
      </c>
      <c r="EP33" s="49">
        <v>4.3508878462257698E-2</v>
      </c>
      <c r="EQ33" s="49">
        <v>1.7366173712289101E-2</v>
      </c>
      <c r="ER33" s="49">
        <v>9.5029109533990696E-3</v>
      </c>
    </row>
    <row r="34" spans="1:148" ht="28" customHeight="1">
      <c r="A34" s="9">
        <v>23</v>
      </c>
      <c r="B34" s="9">
        <f t="shared" ref="B34:B65" si="3">ROW(B34)-1</f>
        <v>33</v>
      </c>
      <c r="C34">
        <v>33</v>
      </c>
      <c r="D34" s="20" t="s">
        <v>108</v>
      </c>
      <c r="E34" s="20">
        <v>67099292</v>
      </c>
      <c r="F34" s="37">
        <v>33.571428571428569</v>
      </c>
      <c r="G34" s="20">
        <v>3</v>
      </c>
      <c r="H34" s="23" t="s">
        <v>10</v>
      </c>
      <c r="I34" s="24">
        <f t="shared" ref="I34:I65" si="4">H34-M34</f>
        <v>32</v>
      </c>
      <c r="J34" s="25" t="s">
        <v>536</v>
      </c>
      <c r="K34" s="9">
        <v>2</v>
      </c>
      <c r="M34" s="23" t="s">
        <v>70</v>
      </c>
      <c r="N34" s="17">
        <v>5755</v>
      </c>
      <c r="O34" s="45">
        <v>47.176368375325808</v>
      </c>
      <c r="P34" s="17">
        <v>3</v>
      </c>
      <c r="Q34" s="17">
        <v>1</v>
      </c>
      <c r="R34" s="18">
        <v>45451</v>
      </c>
      <c r="S34" s="9">
        <v>2</v>
      </c>
      <c r="T34" s="9">
        <v>0</v>
      </c>
      <c r="U34" s="9">
        <v>2</v>
      </c>
      <c r="V34" s="9">
        <v>2</v>
      </c>
      <c r="W34" s="9">
        <v>3</v>
      </c>
      <c r="X34" s="9">
        <v>0</v>
      </c>
      <c r="Y34" s="9">
        <v>14</v>
      </c>
      <c r="Z34" s="9">
        <v>8</v>
      </c>
      <c r="AA34" s="9">
        <v>2</v>
      </c>
      <c r="AB34" s="9">
        <v>1</v>
      </c>
      <c r="AC34" s="9">
        <v>10</v>
      </c>
      <c r="AD34" s="9">
        <v>10</v>
      </c>
      <c r="AE34" s="9">
        <v>1</v>
      </c>
      <c r="AF34" s="9">
        <v>1</v>
      </c>
      <c r="AG34" s="9">
        <v>2</v>
      </c>
      <c r="AH34" s="9">
        <v>2</v>
      </c>
      <c r="AI34" s="9">
        <v>1</v>
      </c>
      <c r="AJ34" s="9">
        <v>2</v>
      </c>
      <c r="AK34" s="9">
        <v>1</v>
      </c>
      <c r="AL34" s="9">
        <v>30</v>
      </c>
      <c r="AM34" s="9">
        <v>1</v>
      </c>
      <c r="AN34" s="9">
        <v>1</v>
      </c>
      <c r="AO34" s="17" t="s">
        <v>369</v>
      </c>
      <c r="AQ34" s="9" t="s">
        <v>165</v>
      </c>
      <c r="AR34" s="9" t="s">
        <v>164</v>
      </c>
      <c r="AS34" s="9">
        <v>1</v>
      </c>
      <c r="AT34" s="9">
        <v>2</v>
      </c>
      <c r="AU34" s="9">
        <v>1</v>
      </c>
      <c r="AV34" s="9">
        <v>38</v>
      </c>
      <c r="AW34" s="9">
        <v>4</v>
      </c>
      <c r="AX34" s="37">
        <f t="shared" ref="AX34:AX65" si="5">AV34+AW34/7</f>
        <v>38.571428571428569</v>
      </c>
      <c r="AY34" s="9">
        <v>2000</v>
      </c>
      <c r="AZ34" s="9">
        <v>3</v>
      </c>
      <c r="BA34" s="9">
        <v>3</v>
      </c>
      <c r="BB34" s="9">
        <v>42</v>
      </c>
      <c r="BC34" s="9">
        <v>3</v>
      </c>
      <c r="BD34" s="9">
        <v>28</v>
      </c>
      <c r="BE34" s="9">
        <v>3</v>
      </c>
      <c r="BF34" s="9">
        <v>2240</v>
      </c>
      <c r="BG34" s="9">
        <v>2</v>
      </c>
      <c r="BH34" s="9">
        <v>47</v>
      </c>
      <c r="BI34" s="9">
        <v>3</v>
      </c>
      <c r="BJ34" s="9">
        <v>31</v>
      </c>
      <c r="BK34" s="9">
        <v>2</v>
      </c>
      <c r="BL34" s="9">
        <v>1</v>
      </c>
      <c r="BN34" s="9">
        <v>1</v>
      </c>
      <c r="BP34" s="9">
        <v>1</v>
      </c>
      <c r="BR34" s="9">
        <v>1</v>
      </c>
      <c r="BS34" s="9">
        <v>1</v>
      </c>
      <c r="BT34" s="42">
        <v>45446</v>
      </c>
      <c r="BU34" s="18">
        <v>45481</v>
      </c>
      <c r="BV34" s="9">
        <v>1</v>
      </c>
      <c r="BW34" s="9">
        <v>1</v>
      </c>
      <c r="BX34" s="9">
        <v>0</v>
      </c>
      <c r="BY34" s="9">
        <v>2</v>
      </c>
      <c r="BZ34" s="9">
        <v>42</v>
      </c>
      <c r="CA34" s="9">
        <v>1</v>
      </c>
      <c r="CB34" s="18">
        <v>45447</v>
      </c>
      <c r="CC34" s="18">
        <v>45448</v>
      </c>
      <c r="CD34" s="9">
        <v>2</v>
      </c>
      <c r="CE34" s="49">
        <v>0.212144932259205</v>
      </c>
      <c r="CF34" s="49">
        <v>0.289800704732322</v>
      </c>
      <c r="CG34" s="49">
        <v>0.26780751067272401</v>
      </c>
      <c r="CH34" s="49">
        <v>0.28950107523377699</v>
      </c>
      <c r="CI34" s="49">
        <v>0.37933417359236099</v>
      </c>
      <c r="CJ34" s="49">
        <v>0.37236508814590402</v>
      </c>
      <c r="CK34" s="49">
        <v>0.33083899692229102</v>
      </c>
      <c r="CL34" s="49">
        <v>0.33274081927933702</v>
      </c>
      <c r="CM34" s="49">
        <v>0.49757025826316098</v>
      </c>
      <c r="CN34" s="49">
        <v>0.362158822798756</v>
      </c>
      <c r="CO34" s="49">
        <v>0.30685291418461902</v>
      </c>
      <c r="CP34" s="49">
        <v>0.35621171809059199</v>
      </c>
      <c r="CQ34" s="49">
        <v>0.42850862313145599</v>
      </c>
      <c r="CR34" s="49">
        <v>0.44514809482141798</v>
      </c>
      <c r="CS34" s="49">
        <v>0.41609556488558602</v>
      </c>
      <c r="CT34" s="49">
        <v>0.41982821495925199</v>
      </c>
      <c r="CU34" s="49">
        <v>0.69607843137254899</v>
      </c>
      <c r="CV34" s="49">
        <v>0.49772727272727302</v>
      </c>
      <c r="CW34" s="49">
        <v>0.53987012987013006</v>
      </c>
      <c r="CX34" s="49">
        <v>0.49772727272727302</v>
      </c>
      <c r="CY34" s="49">
        <v>0.70580808080808</v>
      </c>
      <c r="CZ34" s="49">
        <v>0.71338383838383801</v>
      </c>
      <c r="DA34" s="49">
        <v>0.63547008547008499</v>
      </c>
      <c r="DB34" s="49">
        <v>0.63760683760683801</v>
      </c>
      <c r="DC34" s="49">
        <v>0.71456829175095005</v>
      </c>
      <c r="DD34" s="49">
        <v>0.505128205128205</v>
      </c>
      <c r="DE34" s="49">
        <v>0.41943921674676099</v>
      </c>
      <c r="DF34" s="49">
        <v>0.505128205128205</v>
      </c>
      <c r="DG34" s="49">
        <v>0.67178761270726295</v>
      </c>
      <c r="DH34" s="49">
        <v>0.70990181077699099</v>
      </c>
      <c r="DI34" s="49">
        <v>0.78348461478127196</v>
      </c>
      <c r="DJ34" s="49">
        <v>0.79584933180724104</v>
      </c>
      <c r="DK34" s="49">
        <v>0.61538461538461497</v>
      </c>
      <c r="DL34" s="49">
        <v>0.505128205128205</v>
      </c>
      <c r="DM34" s="49">
        <v>0.32051282051282098</v>
      </c>
      <c r="DN34" s="49">
        <v>0.505128205128205</v>
      </c>
      <c r="DO34" s="49">
        <v>0.58394383394383398</v>
      </c>
      <c r="DP34" s="49">
        <v>0.53809523809523796</v>
      </c>
      <c r="DQ34" s="49">
        <v>0.62307692307692297</v>
      </c>
      <c r="DR34" s="49">
        <v>0.68791208791208802</v>
      </c>
      <c r="DS34" s="49">
        <v>1.79411764705882</v>
      </c>
      <c r="DT34" s="49">
        <v>2.8333333333333299</v>
      </c>
      <c r="DU34" s="49">
        <v>2.6181818181818199</v>
      </c>
      <c r="DV34" s="49">
        <v>2.8333333333333299</v>
      </c>
      <c r="DW34" s="49">
        <v>1.7121212121212099</v>
      </c>
      <c r="DX34" s="49">
        <v>1.6666666666666701</v>
      </c>
      <c r="DY34" s="49">
        <v>2.0641025641025599</v>
      </c>
      <c r="DZ34" s="49">
        <v>2.0512820512820502</v>
      </c>
      <c r="EA34" s="49">
        <v>59.319663849957301</v>
      </c>
      <c r="EB34" s="49">
        <v>21.915185975264599</v>
      </c>
      <c r="EC34" s="49">
        <v>6.6410644530499203</v>
      </c>
      <c r="ED34" s="49">
        <v>2.2200934994279899</v>
      </c>
      <c r="EE34" s="49">
        <v>251.282489013847</v>
      </c>
      <c r="EF34" s="49">
        <v>88.929062332315993</v>
      </c>
      <c r="EG34" s="49">
        <v>25.350990278581001</v>
      </c>
      <c r="EH34" s="49">
        <v>7.0094718206800799</v>
      </c>
      <c r="EI34" s="49">
        <v>3.0835616493857598</v>
      </c>
      <c r="EJ34" s="49">
        <v>333.286709157497</v>
      </c>
      <c r="EK34" s="49">
        <v>0.23606763878675399</v>
      </c>
      <c r="EL34" s="49">
        <v>8.7213343282575503E-2</v>
      </c>
      <c r="EM34" s="49">
        <v>2.6428679845987901E-2</v>
      </c>
      <c r="EN34" s="49">
        <v>8.8350505765073806E-3</v>
      </c>
      <c r="EO34" s="49">
        <v>0.266824508415341</v>
      </c>
      <c r="EP34" s="49">
        <v>7.6063610045131402E-2</v>
      </c>
      <c r="EQ34" s="49">
        <v>2.1031357171124698E-2</v>
      </c>
      <c r="ER34" s="49">
        <v>9.25197904585086E-3</v>
      </c>
    </row>
    <row r="35" spans="1:148" ht="28" customHeight="1">
      <c r="A35" s="9">
        <v>47</v>
      </c>
      <c r="B35" s="9">
        <f t="shared" si="3"/>
        <v>34</v>
      </c>
      <c r="C35">
        <v>34</v>
      </c>
      <c r="D35" s="9" t="s">
        <v>93</v>
      </c>
      <c r="E35" s="9">
        <v>67111551</v>
      </c>
      <c r="F35" s="37">
        <v>28.714285714285715</v>
      </c>
      <c r="G35" s="9">
        <v>2</v>
      </c>
      <c r="H35" s="9" t="s">
        <v>15</v>
      </c>
      <c r="I35" s="9">
        <f t="shared" si="4"/>
        <v>56</v>
      </c>
      <c r="J35" s="9" t="s">
        <v>541</v>
      </c>
      <c r="K35" s="9">
        <v>2</v>
      </c>
      <c r="M35" s="9" t="s">
        <v>31</v>
      </c>
      <c r="N35" s="17">
        <v>15216</v>
      </c>
      <c r="O35" s="45">
        <v>2.3659305993690851</v>
      </c>
      <c r="P35" s="17">
        <v>2</v>
      </c>
      <c r="Q35" s="17">
        <v>1</v>
      </c>
      <c r="R35" s="18">
        <v>45541</v>
      </c>
      <c r="S35" s="9">
        <v>2</v>
      </c>
      <c r="T35" s="9">
        <v>22</v>
      </c>
      <c r="U35" s="9">
        <v>53</v>
      </c>
      <c r="V35" s="9">
        <v>75</v>
      </c>
      <c r="W35" s="9">
        <v>5</v>
      </c>
      <c r="X35" s="9">
        <v>22</v>
      </c>
      <c r="Y35" s="9">
        <v>3</v>
      </c>
      <c r="Z35" s="9">
        <v>39</v>
      </c>
      <c r="AA35" s="9">
        <v>2</v>
      </c>
      <c r="AB35" s="9">
        <v>1</v>
      </c>
      <c r="AC35" s="9">
        <v>8</v>
      </c>
      <c r="AD35" s="9">
        <v>9</v>
      </c>
      <c r="AE35" s="9">
        <v>2</v>
      </c>
      <c r="AF35" s="9">
        <v>2</v>
      </c>
      <c r="AG35" s="9">
        <v>1</v>
      </c>
      <c r="AH35" s="9">
        <v>2</v>
      </c>
      <c r="AI35" s="9">
        <v>2</v>
      </c>
      <c r="AJ35" s="9">
        <v>1</v>
      </c>
      <c r="AK35" s="9">
        <v>1</v>
      </c>
      <c r="AL35" s="9">
        <v>40</v>
      </c>
      <c r="AM35" s="9">
        <v>2</v>
      </c>
      <c r="AN35" s="9">
        <v>1</v>
      </c>
      <c r="AO35" s="9" t="s">
        <v>344</v>
      </c>
      <c r="AP35" s="31" t="s">
        <v>400</v>
      </c>
      <c r="AQ35" s="17" t="s">
        <v>401</v>
      </c>
      <c r="AR35" s="9" t="s">
        <v>124</v>
      </c>
      <c r="AS35" s="9">
        <v>1</v>
      </c>
      <c r="AT35" s="9">
        <v>2</v>
      </c>
      <c r="AU35" s="9">
        <v>1</v>
      </c>
      <c r="AV35" s="9">
        <v>40</v>
      </c>
      <c r="AW35" s="9">
        <v>6</v>
      </c>
      <c r="AX35" s="37">
        <f t="shared" si="5"/>
        <v>40.857142857142854</v>
      </c>
      <c r="AY35" s="9">
        <v>980</v>
      </c>
      <c r="AZ35" s="9">
        <v>1</v>
      </c>
      <c r="BA35" s="9">
        <v>3</v>
      </c>
      <c r="BB35" s="9">
        <v>37</v>
      </c>
      <c r="BC35" s="9">
        <v>4</v>
      </c>
      <c r="BD35" s="9">
        <v>26</v>
      </c>
      <c r="BE35" s="9">
        <v>4</v>
      </c>
      <c r="BF35" s="9">
        <v>2510</v>
      </c>
      <c r="BG35" s="9">
        <v>1</v>
      </c>
      <c r="BH35" s="9">
        <v>48</v>
      </c>
      <c r="BI35" s="9">
        <v>2</v>
      </c>
      <c r="BJ35" s="9">
        <v>33</v>
      </c>
      <c r="BK35" s="9">
        <v>2</v>
      </c>
      <c r="BL35" s="9">
        <v>1</v>
      </c>
      <c r="BN35" s="9">
        <v>2</v>
      </c>
      <c r="BO35" s="9">
        <v>3</v>
      </c>
      <c r="BP35" s="9">
        <v>2</v>
      </c>
      <c r="BQ35" s="9">
        <v>3</v>
      </c>
      <c r="BR35" s="9">
        <v>2</v>
      </c>
      <c r="BS35" s="9">
        <v>1</v>
      </c>
      <c r="BT35" s="42">
        <v>45460</v>
      </c>
      <c r="BU35" s="35">
        <v>45545</v>
      </c>
      <c r="BV35" s="9">
        <v>1</v>
      </c>
      <c r="BW35" s="9">
        <v>1</v>
      </c>
      <c r="BX35" s="9">
        <v>0</v>
      </c>
      <c r="BY35" s="9">
        <v>2</v>
      </c>
      <c r="BZ35" s="9">
        <v>32</v>
      </c>
      <c r="CA35" s="9">
        <v>1</v>
      </c>
      <c r="CB35" s="18">
        <v>45461</v>
      </c>
      <c r="CC35" s="18">
        <v>45515</v>
      </c>
      <c r="CD35" s="17">
        <v>55</v>
      </c>
      <c r="CE35" s="49">
        <v>0.26466687145625201</v>
      </c>
      <c r="CF35" s="49">
        <v>0.25375632963299399</v>
      </c>
      <c r="CG35" s="49">
        <v>0.243642317529324</v>
      </c>
      <c r="CH35" s="49">
        <v>0.24216340367230399</v>
      </c>
      <c r="CI35" s="49">
        <v>0.37223662182359202</v>
      </c>
      <c r="CJ35" s="49">
        <v>0.34360284647665301</v>
      </c>
      <c r="CK35" s="49">
        <v>0.382905756451908</v>
      </c>
      <c r="CL35" s="49">
        <v>0.32925111648495198</v>
      </c>
      <c r="CM35" s="49">
        <v>0.42679327016551799</v>
      </c>
      <c r="CN35" s="49">
        <v>0.44829063631309501</v>
      </c>
      <c r="CO35" s="49">
        <v>0.41161661134766597</v>
      </c>
      <c r="CP35" s="49">
        <v>0.40371677429694203</v>
      </c>
      <c r="CQ35" s="49">
        <v>0.56296530786419796</v>
      </c>
      <c r="CR35" s="49">
        <v>0.46274602599672698</v>
      </c>
      <c r="CS35" s="49">
        <v>0.45222235031254099</v>
      </c>
      <c r="CT35" s="49">
        <v>0.47789476707402501</v>
      </c>
      <c r="CU35" s="49">
        <v>0.59420289855072495</v>
      </c>
      <c r="CV35" s="49">
        <v>0.59629629629629599</v>
      </c>
      <c r="CW35" s="49">
        <v>0.68981481481481499</v>
      </c>
      <c r="CX35" s="49">
        <v>0.68981481481481499</v>
      </c>
      <c r="CY35" s="49">
        <v>0.70454545454545503</v>
      </c>
      <c r="CZ35" s="49">
        <v>0.68863636363636405</v>
      </c>
      <c r="DA35" s="49">
        <v>0.64188034188034204</v>
      </c>
      <c r="DB35" s="49">
        <v>0.77380952380952395</v>
      </c>
      <c r="DC35" s="49">
        <v>0.55539670847565903</v>
      </c>
      <c r="DD35" s="49">
        <v>0.57660002697354396</v>
      </c>
      <c r="DE35" s="49">
        <v>0.51506156543508197</v>
      </c>
      <c r="DF35" s="49">
        <v>0.51506156543508197</v>
      </c>
      <c r="DG35" s="49">
        <v>0.87740440818424803</v>
      </c>
      <c r="DH35" s="49">
        <v>0.76540044144095198</v>
      </c>
      <c r="DI35" s="49">
        <v>0.73050073120779802</v>
      </c>
      <c r="DJ35" s="49">
        <v>0.80324589254624301</v>
      </c>
      <c r="DK35" s="49">
        <v>0.492307692307692</v>
      </c>
      <c r="DL35" s="49">
        <v>0.53589743589743599</v>
      </c>
      <c r="DM35" s="49">
        <v>0.47435897435897401</v>
      </c>
      <c r="DN35" s="49">
        <v>0.47435897435897401</v>
      </c>
      <c r="DO35" s="49">
        <v>0.71758241758241803</v>
      </c>
      <c r="DP35" s="49">
        <v>0.65201465201465203</v>
      </c>
      <c r="DQ35" s="49">
        <v>0.60567765567765597</v>
      </c>
      <c r="DR35" s="49">
        <v>0.64829059829059799</v>
      </c>
      <c r="DS35" s="49">
        <v>2.2173913043478302</v>
      </c>
      <c r="DT35" s="49">
        <v>2.2222222222222201</v>
      </c>
      <c r="DU35" s="49">
        <v>1.75</v>
      </c>
      <c r="DV35" s="49">
        <v>1.75</v>
      </c>
      <c r="DW35" s="49">
        <v>1.7121212121212099</v>
      </c>
      <c r="DX35" s="49">
        <v>1.84848484848485</v>
      </c>
      <c r="DY35" s="49">
        <v>2</v>
      </c>
      <c r="DZ35" s="49">
        <v>1.46428571428571</v>
      </c>
      <c r="EA35" s="49">
        <v>45.358804397619402</v>
      </c>
      <c r="EB35" s="49">
        <v>20.025337575106899</v>
      </c>
      <c r="EC35" s="49">
        <v>7.2515556000821597</v>
      </c>
      <c r="ED35" s="49">
        <v>2.7029625650510298</v>
      </c>
      <c r="EE35" s="49">
        <v>194.92401120277501</v>
      </c>
      <c r="EF35" s="49">
        <v>65.740455625558795</v>
      </c>
      <c r="EG35" s="49">
        <v>23.343687234892201</v>
      </c>
      <c r="EH35" s="49">
        <v>8.3654536137496596</v>
      </c>
      <c r="EI35" s="49">
        <v>4.5167788444376997</v>
      </c>
      <c r="EJ35" s="49">
        <v>307.750306350247</v>
      </c>
      <c r="EK35" s="49">
        <v>0.23269993325980601</v>
      </c>
      <c r="EL35" s="49">
        <v>0.102734072890974</v>
      </c>
      <c r="EM35" s="49">
        <v>3.72019617046489E-2</v>
      </c>
      <c r="EN35" s="49">
        <v>1.3866750167783101E-2</v>
      </c>
      <c r="EO35" s="49">
        <v>0.21361621505825701</v>
      </c>
      <c r="EP35" s="49">
        <v>7.5852685613008106E-2</v>
      </c>
      <c r="EQ35" s="49">
        <v>2.71826004430652E-2</v>
      </c>
      <c r="ER35" s="49">
        <v>1.4676764738284999E-2</v>
      </c>
    </row>
    <row r="36" spans="1:148" ht="28" customHeight="1">
      <c r="A36" s="9">
        <v>16</v>
      </c>
      <c r="B36" s="9">
        <f t="shared" si="3"/>
        <v>35</v>
      </c>
      <c r="C36">
        <v>35</v>
      </c>
      <c r="D36" s="26" t="s">
        <v>101</v>
      </c>
      <c r="E36" s="9">
        <v>67122567</v>
      </c>
      <c r="F36" s="37">
        <v>31.142857142857142</v>
      </c>
      <c r="G36" s="9">
        <v>2</v>
      </c>
      <c r="H36" s="9" t="s">
        <v>14</v>
      </c>
      <c r="I36" s="9">
        <f t="shared" si="4"/>
        <v>42</v>
      </c>
      <c r="J36" s="9" t="s">
        <v>532</v>
      </c>
      <c r="K36" s="9">
        <v>2</v>
      </c>
      <c r="M36" s="9" t="s">
        <v>9</v>
      </c>
      <c r="N36" s="17">
        <v>23936</v>
      </c>
      <c r="O36" s="45">
        <v>23.729946524064172</v>
      </c>
      <c r="P36" s="17">
        <v>2</v>
      </c>
      <c r="Q36" s="17">
        <v>2</v>
      </c>
      <c r="R36" s="18">
        <v>45522</v>
      </c>
      <c r="S36" s="9">
        <v>2</v>
      </c>
      <c r="T36" s="9">
        <v>5</v>
      </c>
      <c r="U36" s="9">
        <v>33</v>
      </c>
      <c r="V36" s="9">
        <v>38</v>
      </c>
      <c r="W36" s="9">
        <v>6</v>
      </c>
      <c r="X36" s="9">
        <v>18</v>
      </c>
      <c r="Y36" s="9">
        <v>9</v>
      </c>
      <c r="AA36" s="9">
        <v>1</v>
      </c>
      <c r="AB36" s="9">
        <v>2</v>
      </c>
      <c r="AC36" s="9">
        <v>9</v>
      </c>
      <c r="AD36" s="9">
        <v>10</v>
      </c>
      <c r="AE36" s="9">
        <v>3</v>
      </c>
      <c r="AF36" s="9">
        <v>1</v>
      </c>
      <c r="AG36" s="9">
        <v>1</v>
      </c>
      <c r="AH36" s="9">
        <v>2</v>
      </c>
      <c r="AI36" s="9">
        <v>2</v>
      </c>
      <c r="AJ36" s="9">
        <v>2</v>
      </c>
      <c r="AK36" s="9">
        <v>1</v>
      </c>
      <c r="AL36" s="9">
        <v>33</v>
      </c>
      <c r="AM36" s="9">
        <v>1</v>
      </c>
      <c r="AN36" s="9">
        <v>1</v>
      </c>
      <c r="AO36" s="17" t="s">
        <v>363</v>
      </c>
      <c r="AP36" s="31" t="s">
        <v>364</v>
      </c>
      <c r="AQ36" s="9" t="s">
        <v>172</v>
      </c>
      <c r="AR36" s="9" t="s">
        <v>171</v>
      </c>
      <c r="AS36" s="9">
        <v>1</v>
      </c>
      <c r="AT36" s="9">
        <v>2</v>
      </c>
      <c r="AU36" s="9">
        <v>1</v>
      </c>
      <c r="AV36" s="9">
        <v>45</v>
      </c>
      <c r="AW36" s="9">
        <v>4</v>
      </c>
      <c r="AX36" s="37">
        <f t="shared" si="5"/>
        <v>45.571428571428569</v>
      </c>
      <c r="AY36" s="9">
        <v>1065</v>
      </c>
      <c r="AZ36" s="9">
        <v>2</v>
      </c>
      <c r="BA36" s="9">
        <v>2</v>
      </c>
      <c r="BB36" s="9">
        <v>35</v>
      </c>
      <c r="BC36" s="9">
        <v>1</v>
      </c>
      <c r="BD36" s="9">
        <v>26</v>
      </c>
      <c r="BE36" s="9">
        <v>2</v>
      </c>
      <c r="BF36" s="9">
        <v>3700</v>
      </c>
      <c r="BG36" s="9">
        <v>2</v>
      </c>
      <c r="BH36" s="9">
        <v>52</v>
      </c>
      <c r="BI36" s="9">
        <v>2</v>
      </c>
      <c r="BJ36" s="9">
        <v>37</v>
      </c>
      <c r="BK36" s="9">
        <v>3</v>
      </c>
      <c r="BL36" s="9">
        <v>1</v>
      </c>
      <c r="BN36" s="9">
        <v>2</v>
      </c>
      <c r="BO36" s="9">
        <v>2</v>
      </c>
      <c r="BP36" s="9">
        <v>1</v>
      </c>
      <c r="BR36" s="9">
        <v>1</v>
      </c>
      <c r="BS36" s="9">
        <v>1</v>
      </c>
      <c r="BT36" s="42">
        <v>45471</v>
      </c>
      <c r="BU36" s="18">
        <v>45572</v>
      </c>
      <c r="BV36" s="9">
        <v>1</v>
      </c>
      <c r="BW36" s="9">
        <v>1</v>
      </c>
      <c r="BX36" s="9">
        <v>0</v>
      </c>
      <c r="BY36" s="9">
        <v>2</v>
      </c>
      <c r="BZ36" s="9">
        <v>142</v>
      </c>
      <c r="CA36" s="9">
        <v>1</v>
      </c>
      <c r="CB36" s="18">
        <v>45472</v>
      </c>
      <c r="CC36" s="18">
        <v>45501</v>
      </c>
      <c r="CD36" s="9">
        <v>30</v>
      </c>
      <c r="CE36" s="49">
        <v>0.30086678583413701</v>
      </c>
      <c r="CF36" s="49">
        <v>0.35522627628832198</v>
      </c>
      <c r="CG36" s="49">
        <v>0.27988519055739303</v>
      </c>
      <c r="CH36" s="49">
        <v>0.273159318034079</v>
      </c>
      <c r="CI36" s="49">
        <v>0.442795965667661</v>
      </c>
      <c r="CJ36" s="49">
        <v>0.393225674103724</v>
      </c>
      <c r="CK36" s="49">
        <v>0.37174772783515903</v>
      </c>
      <c r="CL36" s="49">
        <v>0.38073539052543198</v>
      </c>
      <c r="CM36" s="49">
        <v>0.41525891814217902</v>
      </c>
      <c r="CN36" s="49">
        <v>0.388338137385763</v>
      </c>
      <c r="CO36" s="49">
        <v>0.55270344391885495</v>
      </c>
      <c r="CP36" s="49">
        <v>0.54214416151817002</v>
      </c>
      <c r="CQ36" s="49">
        <v>0.55683736274157802</v>
      </c>
      <c r="CR36" s="49">
        <v>0.49580102424304701</v>
      </c>
      <c r="CS36" s="49">
        <v>0.46514935938838198</v>
      </c>
      <c r="CT36" s="49">
        <v>0.47239788319056197</v>
      </c>
      <c r="CU36" s="49">
        <v>0.60869565217391297</v>
      </c>
      <c r="CV36" s="49">
        <v>0.51136363636363702</v>
      </c>
      <c r="CW36" s="49">
        <v>0.66239316239316304</v>
      </c>
      <c r="CX36" s="49">
        <v>0.66239316239316304</v>
      </c>
      <c r="CY36" s="49">
        <v>0.72222222222222199</v>
      </c>
      <c r="CZ36" s="49">
        <v>0.72474747474747503</v>
      </c>
      <c r="DA36" s="49">
        <v>0.71969696969696995</v>
      </c>
      <c r="DB36" s="49">
        <v>0.72979797979798</v>
      </c>
      <c r="DC36" s="49">
        <v>0.49687056002421398</v>
      </c>
      <c r="DD36" s="49">
        <v>0.46818027697005299</v>
      </c>
      <c r="DE36" s="49">
        <v>0.65028291609296396</v>
      </c>
      <c r="DF36" s="49">
        <v>0.65028291609296396</v>
      </c>
      <c r="DG36" s="49">
        <v>0.77562662439914998</v>
      </c>
      <c r="DH36" s="49">
        <v>0.78536772144495504</v>
      </c>
      <c r="DI36" s="49">
        <v>0.78162371245620499</v>
      </c>
      <c r="DJ36" s="49">
        <v>0.77742052764287595</v>
      </c>
      <c r="DK36" s="49">
        <v>0.42564102564102602</v>
      </c>
      <c r="DL36" s="49">
        <v>0.36923076923076897</v>
      </c>
      <c r="DM36" s="49">
        <v>0.58974358974358998</v>
      </c>
      <c r="DN36" s="49">
        <v>0.58974358974358998</v>
      </c>
      <c r="DO36" s="49">
        <v>0.60854700854700905</v>
      </c>
      <c r="DP36" s="49">
        <v>0.64188034188034204</v>
      </c>
      <c r="DQ36" s="49">
        <v>0.61446886446886495</v>
      </c>
      <c r="DR36" s="49">
        <v>0.58394383394383398</v>
      </c>
      <c r="DS36" s="49">
        <v>2.0869565217391299</v>
      </c>
      <c r="DT36" s="49">
        <v>2.6212121212121202</v>
      </c>
      <c r="DU36" s="49">
        <v>1.84615384615385</v>
      </c>
      <c r="DV36" s="49">
        <v>1.84615384615385</v>
      </c>
      <c r="DW36" s="49">
        <v>1.60606060606061</v>
      </c>
      <c r="DX36" s="49">
        <v>1.5909090909090899</v>
      </c>
      <c r="DY36" s="49">
        <v>1.62121212121212</v>
      </c>
      <c r="DZ36" s="49">
        <v>1.5606060606060601</v>
      </c>
      <c r="EA36" s="49">
        <v>36.055985905273602</v>
      </c>
      <c r="EB36" s="49">
        <v>11.7049287353453</v>
      </c>
      <c r="EC36" s="49">
        <v>4.5757370405090203</v>
      </c>
      <c r="ED36" s="49">
        <v>2.2495531557192501</v>
      </c>
      <c r="EE36" s="49">
        <v>174.54422912263701</v>
      </c>
      <c r="EF36" s="49">
        <v>62.753823145839</v>
      </c>
      <c r="EG36" s="49">
        <v>13.508773403958999</v>
      </c>
      <c r="EH36" s="49">
        <v>5.1866185801474902</v>
      </c>
      <c r="EI36" s="49">
        <v>2.7248585212925902</v>
      </c>
      <c r="EJ36" s="49">
        <v>352.53042568215801</v>
      </c>
      <c r="EK36" s="49">
        <v>0.20657220285375399</v>
      </c>
      <c r="EL36" s="49">
        <v>6.7059958350850393E-2</v>
      </c>
      <c r="EM36" s="49">
        <v>2.6215344176713201E-2</v>
      </c>
      <c r="EN36" s="49">
        <v>1.2888155437890099E-2</v>
      </c>
      <c r="EO36" s="49">
        <v>0.17800966547613101</v>
      </c>
      <c r="EP36" s="49">
        <v>3.8319453924633998E-2</v>
      </c>
      <c r="EQ36" s="49">
        <v>1.4712541676682799E-2</v>
      </c>
      <c r="ER36" s="49">
        <v>7.7294279380847796E-3</v>
      </c>
    </row>
    <row r="37" spans="1:148" ht="28" customHeight="1">
      <c r="A37" s="9">
        <v>49</v>
      </c>
      <c r="B37" s="9">
        <f t="shared" si="3"/>
        <v>36</v>
      </c>
      <c r="C37">
        <v>36</v>
      </c>
      <c r="D37" s="9" t="s">
        <v>186</v>
      </c>
      <c r="E37" s="9">
        <v>67192543</v>
      </c>
      <c r="F37" s="37">
        <v>29.285714285714285</v>
      </c>
      <c r="G37" s="9">
        <v>2</v>
      </c>
      <c r="H37" s="18">
        <v>45568</v>
      </c>
      <c r="I37" s="9">
        <f t="shared" si="4"/>
        <v>34</v>
      </c>
      <c r="J37" s="9" t="s">
        <v>54</v>
      </c>
      <c r="K37" s="9">
        <v>2</v>
      </c>
      <c r="M37" s="9" t="s">
        <v>40</v>
      </c>
      <c r="N37" s="17">
        <v>14356</v>
      </c>
      <c r="O37" s="45">
        <v>7.1329061019782678</v>
      </c>
      <c r="P37" s="17">
        <v>2</v>
      </c>
      <c r="Q37" s="17">
        <v>1</v>
      </c>
      <c r="R37" s="18">
        <v>45617</v>
      </c>
      <c r="S37" s="9">
        <v>2</v>
      </c>
      <c r="T37" s="9">
        <v>4</v>
      </c>
      <c r="U37" s="9">
        <v>57</v>
      </c>
      <c r="V37" s="9">
        <v>61</v>
      </c>
      <c r="W37" s="9">
        <v>24</v>
      </c>
      <c r="X37" s="9">
        <v>44</v>
      </c>
      <c r="Y37" s="9">
        <v>18</v>
      </c>
      <c r="Z37" s="9">
        <v>43</v>
      </c>
      <c r="AA37" s="9">
        <v>1</v>
      </c>
      <c r="AB37" s="9">
        <v>2</v>
      </c>
      <c r="AC37" s="9">
        <v>6</v>
      </c>
      <c r="AD37" s="9">
        <v>9</v>
      </c>
      <c r="AE37" s="9">
        <v>3</v>
      </c>
      <c r="AF37" s="9">
        <v>2</v>
      </c>
      <c r="AG37" s="9">
        <v>1</v>
      </c>
      <c r="AH37" s="9">
        <v>1</v>
      </c>
      <c r="AI37" s="9">
        <v>1</v>
      </c>
      <c r="AJ37" s="9">
        <v>2</v>
      </c>
      <c r="AK37" s="9">
        <v>1</v>
      </c>
      <c r="AL37" s="9">
        <v>26</v>
      </c>
      <c r="AM37" s="9">
        <v>2</v>
      </c>
      <c r="AN37" s="9">
        <v>1</v>
      </c>
      <c r="AO37" s="9" t="s">
        <v>414</v>
      </c>
      <c r="AP37" s="9" t="s">
        <v>415</v>
      </c>
      <c r="AQ37" s="9" t="s">
        <v>416</v>
      </c>
      <c r="AR37" s="9" t="s">
        <v>138</v>
      </c>
      <c r="AS37" s="9">
        <v>1</v>
      </c>
      <c r="AT37" s="9">
        <v>2</v>
      </c>
      <c r="AU37" s="9">
        <v>4</v>
      </c>
      <c r="AV37" s="9">
        <v>42</v>
      </c>
      <c r="AW37" s="9">
        <v>0</v>
      </c>
      <c r="AX37" s="37">
        <f t="shared" si="5"/>
        <v>42</v>
      </c>
      <c r="AY37" s="9">
        <v>900</v>
      </c>
      <c r="AZ37" s="9">
        <v>1</v>
      </c>
      <c r="BA37" s="9">
        <v>3</v>
      </c>
      <c r="BB37" s="9">
        <v>37</v>
      </c>
      <c r="BC37" s="9">
        <v>3</v>
      </c>
      <c r="BD37" s="9">
        <v>25</v>
      </c>
      <c r="BE37" s="9">
        <v>2</v>
      </c>
      <c r="BF37" s="9">
        <v>2120</v>
      </c>
      <c r="BG37" s="9">
        <v>1</v>
      </c>
      <c r="BH37" s="9">
        <v>45</v>
      </c>
      <c r="BI37" s="9">
        <v>1</v>
      </c>
      <c r="BJ37" s="9">
        <v>32</v>
      </c>
      <c r="BK37" s="9">
        <v>1</v>
      </c>
      <c r="BL37" s="9">
        <v>1</v>
      </c>
      <c r="BN37" s="9">
        <v>2</v>
      </c>
      <c r="BO37" s="9">
        <v>3</v>
      </c>
      <c r="BP37" s="9">
        <v>2</v>
      </c>
      <c r="BQ37" s="9">
        <v>2</v>
      </c>
      <c r="BR37" s="9">
        <v>2</v>
      </c>
      <c r="BS37" s="9">
        <v>1</v>
      </c>
      <c r="BT37" s="18">
        <v>45534</v>
      </c>
      <c r="BU37" s="18">
        <v>45626</v>
      </c>
      <c r="BV37" s="9">
        <v>1</v>
      </c>
      <c r="BW37" s="9">
        <v>2</v>
      </c>
      <c r="BX37" s="9">
        <v>2</v>
      </c>
      <c r="BY37" s="9">
        <v>2</v>
      </c>
      <c r="BZ37" s="9">
        <v>195</v>
      </c>
      <c r="CA37" s="9">
        <v>1</v>
      </c>
      <c r="CB37" s="18">
        <v>45535</v>
      </c>
      <c r="CC37" s="18">
        <v>45576</v>
      </c>
      <c r="CD37" s="9">
        <v>42</v>
      </c>
      <c r="CE37" s="49">
        <v>0.28339303631980001</v>
      </c>
      <c r="CF37" s="49">
        <v>0.25383799912420502</v>
      </c>
      <c r="CG37" s="49">
        <v>0.189103356224019</v>
      </c>
      <c r="CH37" s="49">
        <v>0.19434508506790299</v>
      </c>
      <c r="CI37" s="49">
        <v>0.39363868726962098</v>
      </c>
      <c r="CJ37" s="49">
        <v>0.34326542939034899</v>
      </c>
      <c r="CK37" s="49">
        <v>0.33742733096660898</v>
      </c>
      <c r="CL37" s="49">
        <v>0.29808059817396898</v>
      </c>
      <c r="CM37" s="49">
        <v>0.289717462120059</v>
      </c>
      <c r="CN37" s="49">
        <v>0.34399190461919699</v>
      </c>
      <c r="CO37" s="49">
        <v>0.43967977914050699</v>
      </c>
      <c r="CP37" s="49">
        <v>0.31921801782834602</v>
      </c>
      <c r="CQ37" s="49">
        <v>0.588103979443237</v>
      </c>
      <c r="CR37" s="49">
        <v>0.44430493982774</v>
      </c>
      <c r="CS37" s="49">
        <v>0.39355634636335002</v>
      </c>
      <c r="CT37" s="49">
        <v>0.37251101278577298</v>
      </c>
      <c r="CU37" s="49">
        <v>0.42613960113960098</v>
      </c>
      <c r="CV37" s="49">
        <v>0.46345598845598901</v>
      </c>
      <c r="CW37" s="49">
        <v>0.73655913978494603</v>
      </c>
      <c r="CX37" s="49">
        <v>0.73387096774193605</v>
      </c>
      <c r="CY37" s="49">
        <v>0.62692307692307703</v>
      </c>
      <c r="CZ37" s="49">
        <v>0.69696969696969702</v>
      </c>
      <c r="DA37" s="49">
        <v>0.70202020202020199</v>
      </c>
      <c r="DB37" s="49">
        <v>0.73030303030303001</v>
      </c>
      <c r="DC37" s="49">
        <v>0.404562867716522</v>
      </c>
      <c r="DD37" s="49">
        <v>0.50808162223322595</v>
      </c>
      <c r="DE37" s="49">
        <v>0.67057540079951095</v>
      </c>
      <c r="DF37" s="49">
        <v>0.466431832964394</v>
      </c>
      <c r="DG37" s="49">
        <v>0.91404263256450902</v>
      </c>
      <c r="DH37" s="49">
        <v>0.75277082250995297</v>
      </c>
      <c r="DI37" s="49">
        <v>0.67100793340861697</v>
      </c>
      <c r="DJ37" s="49">
        <v>0.62922592887374496</v>
      </c>
      <c r="DK37" s="49">
        <v>0.33333333333333298</v>
      </c>
      <c r="DL37" s="49">
        <v>0.39743589743589702</v>
      </c>
      <c r="DM37" s="49">
        <v>0.64615384615384597</v>
      </c>
      <c r="DN37" s="49">
        <v>0.34102564102564098</v>
      </c>
      <c r="DO37" s="49">
        <v>0.76446886446886497</v>
      </c>
      <c r="DP37" s="49">
        <v>0.59890109890109899</v>
      </c>
      <c r="DQ37" s="49">
        <v>0.573260073260073</v>
      </c>
      <c r="DR37" s="49">
        <v>0.58516483516483497</v>
      </c>
      <c r="DS37" s="49">
        <v>3.8076923076923102</v>
      </c>
      <c r="DT37" s="49">
        <v>3.4090909090909101</v>
      </c>
      <c r="DU37" s="49">
        <v>1.61290322580645</v>
      </c>
      <c r="DV37" s="49">
        <v>1.6451612903225801</v>
      </c>
      <c r="DW37" s="49">
        <v>2.12820512820513</v>
      </c>
      <c r="DX37" s="49">
        <v>1.7878787878787901</v>
      </c>
      <c r="DY37" s="49">
        <v>1.74242424242424</v>
      </c>
      <c r="DZ37" s="49">
        <v>1.8</v>
      </c>
      <c r="EA37" s="49">
        <v>33.093053473687299</v>
      </c>
      <c r="EB37" s="49">
        <v>9.0609158537146808</v>
      </c>
      <c r="EC37" s="49">
        <v>4.2115085260045602</v>
      </c>
      <c r="ED37" s="49">
        <v>2.4462506121596701</v>
      </c>
      <c r="EE37" s="49">
        <v>129.258010932041</v>
      </c>
      <c r="EF37" s="49">
        <v>56.635344362666402</v>
      </c>
      <c r="EG37" s="49">
        <v>11.0892708069251</v>
      </c>
      <c r="EH37" s="49">
        <v>3.6148094660887802</v>
      </c>
      <c r="EI37" s="49">
        <v>2.1090368606057601</v>
      </c>
      <c r="EJ37" s="49">
        <v>217.89999825850501</v>
      </c>
      <c r="EK37" s="49">
        <v>0.25602323008889799</v>
      </c>
      <c r="EL37" s="49">
        <v>7.0099452934321904E-2</v>
      </c>
      <c r="EM37" s="49">
        <v>3.2582185782038697E-2</v>
      </c>
      <c r="EN37" s="49">
        <v>1.8925330774630399E-2</v>
      </c>
      <c r="EO37" s="49">
        <v>0.25991438648603099</v>
      </c>
      <c r="EP37" s="49">
        <v>5.0891559869447003E-2</v>
      </c>
      <c r="EQ37" s="49">
        <v>1.6589304703896201E-2</v>
      </c>
      <c r="ER37" s="49">
        <v>9.6789209612737504E-3</v>
      </c>
    </row>
    <row r="38" spans="1:148" ht="28" customHeight="1">
      <c r="A38" s="9">
        <v>30</v>
      </c>
      <c r="B38" s="9">
        <f t="shared" si="3"/>
        <v>37</v>
      </c>
      <c r="C38">
        <v>37</v>
      </c>
      <c r="D38" s="20" t="s">
        <v>113</v>
      </c>
      <c r="E38" s="20">
        <v>67094116</v>
      </c>
      <c r="F38" s="37">
        <v>33.714285714285715</v>
      </c>
      <c r="G38" s="20">
        <v>3</v>
      </c>
      <c r="H38" s="27">
        <v>45463</v>
      </c>
      <c r="I38" s="24">
        <f t="shared" si="4"/>
        <v>23</v>
      </c>
      <c r="J38" s="25">
        <v>37</v>
      </c>
      <c r="K38" s="9">
        <v>2</v>
      </c>
      <c r="M38" s="23" t="s">
        <v>65</v>
      </c>
      <c r="N38" s="17">
        <v>2960</v>
      </c>
      <c r="O38" s="45">
        <v>24.594594594594597</v>
      </c>
      <c r="P38" s="17">
        <v>2</v>
      </c>
      <c r="Q38" s="17">
        <v>1</v>
      </c>
      <c r="R38" s="18">
        <v>45454</v>
      </c>
      <c r="S38" s="9">
        <v>2</v>
      </c>
      <c r="T38" s="9">
        <v>0</v>
      </c>
      <c r="U38" s="9">
        <v>9</v>
      </c>
      <c r="V38" s="9">
        <v>9</v>
      </c>
      <c r="W38" s="9">
        <v>6</v>
      </c>
      <c r="X38" s="9">
        <v>0</v>
      </c>
      <c r="Y38" s="9">
        <v>6</v>
      </c>
      <c r="Z38" s="9">
        <v>15</v>
      </c>
      <c r="AA38" s="9">
        <v>1</v>
      </c>
      <c r="AB38" s="9">
        <v>1</v>
      </c>
      <c r="AC38" s="9">
        <v>10</v>
      </c>
      <c r="AD38" s="9">
        <v>10</v>
      </c>
      <c r="AE38" s="9">
        <v>1</v>
      </c>
      <c r="AF38" s="9">
        <v>2</v>
      </c>
      <c r="AG38" s="9">
        <v>2</v>
      </c>
      <c r="AH38" s="9">
        <v>2</v>
      </c>
      <c r="AI38" s="9">
        <v>1</v>
      </c>
      <c r="AJ38" s="9">
        <v>1</v>
      </c>
      <c r="AK38" s="9">
        <v>1</v>
      </c>
      <c r="AL38" s="9">
        <v>30</v>
      </c>
      <c r="AM38" s="9">
        <v>3</v>
      </c>
      <c r="AN38" s="9">
        <v>1</v>
      </c>
      <c r="AO38" s="9">
        <v>1</v>
      </c>
      <c r="AP38" s="17" t="s">
        <v>379</v>
      </c>
      <c r="AQ38" s="31" t="s">
        <v>380</v>
      </c>
      <c r="AR38" s="9" t="s">
        <v>156</v>
      </c>
      <c r="AS38" s="9">
        <v>1</v>
      </c>
      <c r="AT38" s="9">
        <v>2</v>
      </c>
      <c r="AU38" s="9">
        <v>1</v>
      </c>
      <c r="AV38" s="9">
        <v>37</v>
      </c>
      <c r="AW38" s="9">
        <v>5</v>
      </c>
      <c r="AX38" s="37">
        <f t="shared" si="5"/>
        <v>37.714285714285715</v>
      </c>
      <c r="AY38" s="9">
        <v>1890</v>
      </c>
      <c r="AZ38" s="9">
        <v>3</v>
      </c>
      <c r="BA38" s="9">
        <v>3</v>
      </c>
      <c r="BB38" s="9">
        <v>45</v>
      </c>
      <c r="BC38" s="9">
        <v>4</v>
      </c>
      <c r="BD38" s="9">
        <v>32</v>
      </c>
      <c r="BE38" s="9">
        <v>4</v>
      </c>
      <c r="BF38" s="9">
        <v>2230</v>
      </c>
      <c r="BG38" s="9">
        <v>2</v>
      </c>
      <c r="BH38" s="9">
        <v>49</v>
      </c>
      <c r="BI38" s="9">
        <v>4</v>
      </c>
      <c r="BJ38" s="9">
        <v>33</v>
      </c>
      <c r="BK38" s="9">
        <v>4</v>
      </c>
      <c r="BL38" s="9">
        <v>1</v>
      </c>
      <c r="BN38" s="9">
        <v>1</v>
      </c>
      <c r="BP38" s="9">
        <v>1</v>
      </c>
      <c r="BR38" s="9">
        <v>2</v>
      </c>
      <c r="BS38" s="9">
        <v>1</v>
      </c>
      <c r="BT38" s="18">
        <v>45440</v>
      </c>
      <c r="BU38" s="35">
        <v>45467</v>
      </c>
      <c r="BV38" s="9">
        <v>1</v>
      </c>
      <c r="BW38" s="9">
        <v>1</v>
      </c>
      <c r="BX38" s="9">
        <v>0</v>
      </c>
      <c r="BY38" s="9">
        <v>2</v>
      </c>
      <c r="BZ38" s="9">
        <v>0</v>
      </c>
      <c r="CA38" s="9">
        <v>1</v>
      </c>
      <c r="CB38" s="18">
        <v>45441</v>
      </c>
      <c r="CC38" s="18">
        <v>45457</v>
      </c>
      <c r="CD38" s="9">
        <v>17</v>
      </c>
      <c r="CE38" s="49">
        <v>0.25073576564366801</v>
      </c>
      <c r="CF38" s="49">
        <v>0.24924611879587499</v>
      </c>
      <c r="CG38" s="49">
        <v>0.25009389170886798</v>
      </c>
      <c r="CH38" s="49">
        <v>0.25461070956051302</v>
      </c>
      <c r="CI38" s="49">
        <v>0.34721621071725201</v>
      </c>
      <c r="CJ38" s="49">
        <v>0.36311463127543903</v>
      </c>
      <c r="CK38" s="49">
        <v>0.341887146308123</v>
      </c>
      <c r="CL38" s="49">
        <v>0.34095948898866901</v>
      </c>
      <c r="CM38" s="49">
        <v>0.38682601545162598</v>
      </c>
      <c r="CN38" s="49">
        <v>0.338921531277254</v>
      </c>
      <c r="CO38" s="49">
        <v>0.42074754836669498</v>
      </c>
      <c r="CP38" s="49">
        <v>0.301384263110061</v>
      </c>
      <c r="CQ38" s="49">
        <v>0.535345746275801</v>
      </c>
      <c r="CR38" s="49">
        <v>0.473914482814834</v>
      </c>
      <c r="CS38" s="49">
        <v>0.51794899690578</v>
      </c>
      <c r="CT38" s="49">
        <v>0.51349425215116595</v>
      </c>
      <c r="CU38" s="49">
        <v>0.68468468468468502</v>
      </c>
      <c r="CV38" s="49">
        <v>0.69369369369369405</v>
      </c>
      <c r="CW38" s="49">
        <v>0.67117117117117098</v>
      </c>
      <c r="CX38" s="49">
        <v>0.68918918918918903</v>
      </c>
      <c r="CY38" s="49">
        <v>0.844444444444444</v>
      </c>
      <c r="CZ38" s="49">
        <v>0.77380952380952395</v>
      </c>
      <c r="DA38" s="49">
        <v>0.844444444444444</v>
      </c>
      <c r="DB38" s="49">
        <v>0.844444444444444</v>
      </c>
      <c r="DC38" s="49">
        <v>0.49922873952755298</v>
      </c>
      <c r="DD38" s="49">
        <v>0.45380978944476802</v>
      </c>
      <c r="DE38" s="49">
        <v>0.53970974979743203</v>
      </c>
      <c r="DF38" s="49">
        <v>0.38911132266530002</v>
      </c>
      <c r="DG38" s="49">
        <v>0.75011100533872199</v>
      </c>
      <c r="DH38" s="49">
        <v>0.71611620905461104</v>
      </c>
      <c r="DI38" s="49">
        <v>0.74377650778486404</v>
      </c>
      <c r="DJ38" s="49">
        <v>0.73770649673615396</v>
      </c>
      <c r="DK38" s="49">
        <v>0.46666666666666701</v>
      </c>
      <c r="DL38" s="49">
        <v>0.38461538461538503</v>
      </c>
      <c r="DM38" s="49">
        <v>0.41025641025641002</v>
      </c>
      <c r="DN38" s="49">
        <v>0.34358974358974398</v>
      </c>
      <c r="DO38" s="49">
        <v>0.68070818070818095</v>
      </c>
      <c r="DP38" s="49">
        <v>0.57753357753357804</v>
      </c>
      <c r="DQ38" s="49">
        <v>0.64792429792429795</v>
      </c>
      <c r="DR38" s="49">
        <v>0.61642246642246601</v>
      </c>
      <c r="DS38" s="49">
        <v>1.7567567567567599</v>
      </c>
      <c r="DT38" s="49">
        <v>1.7027027027027</v>
      </c>
      <c r="DU38" s="49">
        <v>1.86486486486487</v>
      </c>
      <c r="DV38" s="49">
        <v>1.72972972972973</v>
      </c>
      <c r="DW38" s="49">
        <v>1.31111111111111</v>
      </c>
      <c r="DX38" s="49">
        <v>1.46428571428571</v>
      </c>
      <c r="DY38" s="49">
        <v>1.31111111111111</v>
      </c>
      <c r="DZ38" s="49">
        <v>1.31111111111111</v>
      </c>
      <c r="EA38" s="49">
        <v>13.0684781056161</v>
      </c>
      <c r="EB38" s="49">
        <v>7.7732486714095597</v>
      </c>
      <c r="EC38" s="49">
        <v>3.6574434824193101</v>
      </c>
      <c r="ED38" s="49">
        <v>3.6140714231003099</v>
      </c>
      <c r="EE38" s="49">
        <v>104.827025276283</v>
      </c>
      <c r="EF38" s="49">
        <v>39.3070856522341</v>
      </c>
      <c r="EG38" s="49">
        <v>13.7970440806884</v>
      </c>
      <c r="EH38" s="49">
        <v>5.6937175897368002</v>
      </c>
      <c r="EI38" s="49">
        <v>3.1809459967115101</v>
      </c>
      <c r="EJ38" s="49">
        <v>210.40285397785499</v>
      </c>
      <c r="EK38" s="49">
        <v>0.12466707007255701</v>
      </c>
      <c r="EL38" s="49">
        <v>7.4153097933689197E-2</v>
      </c>
      <c r="EM38" s="49">
        <v>3.4890272549275403E-2</v>
      </c>
      <c r="EN38" s="49">
        <v>3.4476523716808899E-2</v>
      </c>
      <c r="EO38" s="49">
        <v>0.18681821519574601</v>
      </c>
      <c r="EP38" s="49">
        <v>6.5574415079657195E-2</v>
      </c>
      <c r="EQ38" s="49">
        <v>2.7061028318256901E-2</v>
      </c>
      <c r="ER38" s="49">
        <v>1.5118359549658501E-2</v>
      </c>
    </row>
    <row r="39" spans="1:148" ht="28" customHeight="1">
      <c r="A39" s="9">
        <v>19</v>
      </c>
      <c r="B39" s="9">
        <f t="shared" si="3"/>
        <v>38</v>
      </c>
      <c r="C39">
        <v>38</v>
      </c>
      <c r="D39" s="20" t="s">
        <v>104</v>
      </c>
      <c r="E39" s="20">
        <v>67094117</v>
      </c>
      <c r="F39" s="37">
        <v>33.714285714285715</v>
      </c>
      <c r="G39" s="20">
        <v>3</v>
      </c>
      <c r="H39" s="23" t="s">
        <v>67</v>
      </c>
      <c r="I39" s="24">
        <f t="shared" si="4"/>
        <v>24</v>
      </c>
      <c r="J39" s="25" t="s">
        <v>532</v>
      </c>
      <c r="K39" s="9">
        <v>2</v>
      </c>
      <c r="M39" s="23" t="s">
        <v>65</v>
      </c>
      <c r="N39" s="17">
        <v>5096</v>
      </c>
      <c r="O39" s="45">
        <v>8.791208791208792</v>
      </c>
      <c r="P39" s="17">
        <v>2</v>
      </c>
      <c r="Q39" s="17">
        <v>1</v>
      </c>
      <c r="R39" s="18">
        <v>45478</v>
      </c>
      <c r="S39" s="9">
        <v>1</v>
      </c>
      <c r="T39" s="9">
        <v>0</v>
      </c>
      <c r="U39" s="9">
        <v>35</v>
      </c>
      <c r="V39" s="9">
        <v>35</v>
      </c>
      <c r="W39" s="9">
        <v>8</v>
      </c>
      <c r="X39" s="9">
        <v>0</v>
      </c>
      <c r="Y39" s="9">
        <v>4</v>
      </c>
      <c r="Z39" s="9">
        <v>28</v>
      </c>
      <c r="AA39" s="9">
        <v>1</v>
      </c>
      <c r="AB39" s="9">
        <v>1</v>
      </c>
      <c r="AC39" s="9">
        <v>9</v>
      </c>
      <c r="AD39" s="9">
        <v>10</v>
      </c>
      <c r="AE39" s="9">
        <v>1</v>
      </c>
      <c r="AF39" s="9">
        <v>2</v>
      </c>
      <c r="AG39" s="9">
        <v>2</v>
      </c>
      <c r="AH39" s="9">
        <v>2</v>
      </c>
      <c r="AI39" s="9">
        <v>1</v>
      </c>
      <c r="AJ39" s="9">
        <v>1</v>
      </c>
      <c r="AK39" s="9">
        <v>1</v>
      </c>
      <c r="AL39" s="9">
        <v>30</v>
      </c>
      <c r="AM39" s="9">
        <v>3</v>
      </c>
      <c r="AN39" s="9">
        <v>1</v>
      </c>
      <c r="AO39" s="9">
        <v>1</v>
      </c>
      <c r="AQ39" s="9" t="s">
        <v>158</v>
      </c>
      <c r="AR39" s="9" t="s">
        <v>157</v>
      </c>
      <c r="AS39" s="9">
        <v>1</v>
      </c>
      <c r="AT39" s="9">
        <v>2</v>
      </c>
      <c r="AU39" s="9">
        <v>1</v>
      </c>
      <c r="AV39" s="9">
        <v>39</v>
      </c>
      <c r="AW39" s="9">
        <v>5</v>
      </c>
      <c r="AX39" s="37">
        <f t="shared" si="5"/>
        <v>39.714285714285715</v>
      </c>
      <c r="AY39" s="9">
        <v>1300</v>
      </c>
      <c r="AZ39" s="9">
        <v>2</v>
      </c>
      <c r="BA39" s="9">
        <v>3</v>
      </c>
      <c r="BB39" s="9">
        <v>41</v>
      </c>
      <c r="BC39" s="9">
        <v>2</v>
      </c>
      <c r="BD39" s="9">
        <v>29</v>
      </c>
      <c r="BE39" s="9">
        <v>2</v>
      </c>
      <c r="BF39" s="9">
        <v>1955</v>
      </c>
      <c r="BG39" s="9">
        <v>1</v>
      </c>
      <c r="BH39" s="9">
        <v>44</v>
      </c>
      <c r="BI39" s="9">
        <v>1</v>
      </c>
      <c r="BJ39" s="9">
        <v>33</v>
      </c>
      <c r="BK39" s="9">
        <v>2</v>
      </c>
      <c r="BL39" s="9">
        <v>1</v>
      </c>
      <c r="BN39" s="9">
        <v>2</v>
      </c>
      <c r="BO39" s="9">
        <v>1</v>
      </c>
      <c r="BP39" s="9">
        <v>1</v>
      </c>
      <c r="BR39" s="9">
        <v>2</v>
      </c>
      <c r="BS39" s="9">
        <v>2</v>
      </c>
      <c r="BT39" s="42">
        <v>45440</v>
      </c>
      <c r="BU39" s="18">
        <v>45484</v>
      </c>
      <c r="BV39" s="9">
        <v>1</v>
      </c>
      <c r="BW39" s="9">
        <v>1</v>
      </c>
      <c r="BX39" s="9">
        <v>0</v>
      </c>
      <c r="BY39" s="9">
        <v>2</v>
      </c>
      <c r="BZ39" s="9">
        <v>0</v>
      </c>
      <c r="CA39" s="9">
        <v>1</v>
      </c>
      <c r="CB39" s="18">
        <v>45498</v>
      </c>
      <c r="CC39" s="18">
        <v>45517</v>
      </c>
      <c r="CD39" s="9">
        <v>20</v>
      </c>
      <c r="CE39" s="49">
        <v>0.237697867563197</v>
      </c>
      <c r="CF39" s="49">
        <v>0.27379924616669898</v>
      </c>
      <c r="CG39" s="49">
        <v>0.25516524305849803</v>
      </c>
      <c r="CH39" s="49">
        <v>0.25755553671451498</v>
      </c>
      <c r="CI39" s="49">
        <v>0.43045000516746501</v>
      </c>
      <c r="CJ39" s="49">
        <v>0.40435488669727998</v>
      </c>
      <c r="CK39" s="49">
        <v>0.430257075116804</v>
      </c>
      <c r="CL39" s="49">
        <v>0.40960205728219701</v>
      </c>
      <c r="CM39" s="49">
        <v>0.37862423762952302</v>
      </c>
      <c r="CN39" s="49">
        <v>0.32952937148817102</v>
      </c>
      <c r="CO39" s="49">
        <v>0.35206711199910901</v>
      </c>
      <c r="CP39" s="49">
        <v>0.29354344293414403</v>
      </c>
      <c r="CQ39" s="49">
        <v>0.56792330601276098</v>
      </c>
      <c r="CR39" s="49">
        <v>0.55984038416831805</v>
      </c>
      <c r="CS39" s="49">
        <v>0.52294169393576295</v>
      </c>
      <c r="CT39" s="49">
        <v>0.42502586790409702</v>
      </c>
      <c r="CU39" s="49">
        <v>0.67763157894736903</v>
      </c>
      <c r="CV39" s="49">
        <v>0.56303030303030299</v>
      </c>
      <c r="CW39" s="49">
        <v>0.60703703703703704</v>
      </c>
      <c r="CX39" s="49">
        <v>0.61925925925925995</v>
      </c>
      <c r="CY39" s="49">
        <v>0.65384615384615397</v>
      </c>
      <c r="CZ39" s="49">
        <v>0.67521367521367504</v>
      </c>
      <c r="DA39" s="49">
        <v>0.67948717948717996</v>
      </c>
      <c r="DB39" s="49">
        <v>0.66880341880341898</v>
      </c>
      <c r="DC39" s="49">
        <v>0.51520055882923899</v>
      </c>
      <c r="DD39" s="49">
        <v>0.43578030900866599</v>
      </c>
      <c r="DE39" s="49">
        <v>0.46972337783967999</v>
      </c>
      <c r="DF39" s="49">
        <v>0.38873004180899301</v>
      </c>
      <c r="DG39" s="49">
        <v>0.83976949201027595</v>
      </c>
      <c r="DH39" s="49">
        <v>0.92751026205270803</v>
      </c>
      <c r="DI39" s="49">
        <v>0.81310075460174303</v>
      </c>
      <c r="DJ39" s="49">
        <v>0.69793904785290195</v>
      </c>
      <c r="DK39" s="49">
        <v>0.46153846153846201</v>
      </c>
      <c r="DL39" s="49">
        <v>0.35641025641025598</v>
      </c>
      <c r="DM39" s="49">
        <v>0.40256410256410302</v>
      </c>
      <c r="DN39" s="49">
        <v>0.32564102564102598</v>
      </c>
      <c r="DO39" s="49">
        <v>0.68901098901098901</v>
      </c>
      <c r="DP39" s="49">
        <v>0.687667887667888</v>
      </c>
      <c r="DQ39" s="49">
        <v>0.65708180708180697</v>
      </c>
      <c r="DR39" s="49">
        <v>0.56837606837606802</v>
      </c>
      <c r="DS39" s="49">
        <v>1.7894736842105301</v>
      </c>
      <c r="DT39" s="49">
        <v>2.3454545454545501</v>
      </c>
      <c r="DU39" s="49">
        <v>2.1777777777777798</v>
      </c>
      <c r="DV39" s="49">
        <v>2.06666666666667</v>
      </c>
      <c r="DW39" s="49">
        <v>1.8974358974359</v>
      </c>
      <c r="DX39" s="49">
        <v>1.7435897435897401</v>
      </c>
      <c r="DY39" s="49">
        <v>1.7179487179487201</v>
      </c>
      <c r="DZ39" s="49">
        <v>1.7948717948718</v>
      </c>
      <c r="EA39" s="49">
        <v>41.778586977776001</v>
      </c>
      <c r="EB39" s="49">
        <v>13.6852082349937</v>
      </c>
      <c r="EC39" s="49">
        <v>6.1943979007021799</v>
      </c>
      <c r="ED39" s="49">
        <v>2.9847273102743399</v>
      </c>
      <c r="EE39" s="49">
        <v>217.96008198973399</v>
      </c>
      <c r="EF39" s="49">
        <v>60.657233250156501</v>
      </c>
      <c r="EG39" s="49">
        <v>17.684935860965901</v>
      </c>
      <c r="EH39" s="49">
        <v>7.6229690739140299</v>
      </c>
      <c r="EI39" s="49">
        <v>3.8938901923103901</v>
      </c>
      <c r="EJ39" s="49">
        <v>278.220767380192</v>
      </c>
      <c r="EK39" s="49">
        <v>0.19167999294358801</v>
      </c>
      <c r="EL39" s="49">
        <v>6.2787681625290998E-2</v>
      </c>
      <c r="EM39" s="49">
        <v>2.8419873236210001E-2</v>
      </c>
      <c r="EN39" s="49">
        <v>1.36939171752327E-2</v>
      </c>
      <c r="EO39" s="49">
        <v>0.21801835219319801</v>
      </c>
      <c r="EP39" s="49">
        <v>6.3564398975289996E-2</v>
      </c>
      <c r="EQ39" s="49">
        <v>2.73989937763961E-2</v>
      </c>
      <c r="ER39" s="49">
        <v>1.3995684897919001E-2</v>
      </c>
    </row>
    <row r="40" spans="1:148" ht="28" customHeight="1">
      <c r="A40" s="9">
        <v>13</v>
      </c>
      <c r="B40" s="9">
        <f t="shared" si="3"/>
        <v>39</v>
      </c>
      <c r="C40">
        <v>39</v>
      </c>
      <c r="D40" s="20" t="s">
        <v>81</v>
      </c>
      <c r="E40" s="20">
        <v>67100076</v>
      </c>
      <c r="F40" s="37">
        <v>33.714285714285715</v>
      </c>
      <c r="G40" s="20">
        <v>3</v>
      </c>
      <c r="H40" s="23" t="s">
        <v>82</v>
      </c>
      <c r="I40" s="24">
        <f t="shared" si="4"/>
        <v>32</v>
      </c>
      <c r="J40" s="25" t="s">
        <v>530</v>
      </c>
      <c r="K40" s="9">
        <v>2</v>
      </c>
      <c r="M40" s="23" t="s">
        <v>71</v>
      </c>
      <c r="N40" s="17">
        <v>5480</v>
      </c>
      <c r="O40" s="45">
        <v>38.540145985401459</v>
      </c>
      <c r="P40" s="17">
        <v>3</v>
      </c>
      <c r="Q40" s="17">
        <v>2</v>
      </c>
      <c r="R40" s="18">
        <v>45463</v>
      </c>
      <c r="S40" s="9">
        <v>2</v>
      </c>
      <c r="T40" s="9">
        <v>0</v>
      </c>
      <c r="U40" s="9">
        <v>3</v>
      </c>
      <c r="V40" s="9">
        <v>3</v>
      </c>
      <c r="W40" s="9">
        <v>3</v>
      </c>
      <c r="X40" s="9">
        <v>4</v>
      </c>
      <c r="Y40" s="9">
        <v>8</v>
      </c>
      <c r="Z40" s="9">
        <v>12</v>
      </c>
      <c r="AA40" s="9">
        <v>2</v>
      </c>
      <c r="AB40" s="9">
        <v>1</v>
      </c>
      <c r="AC40" s="9">
        <v>9</v>
      </c>
      <c r="AD40" s="9">
        <v>10</v>
      </c>
      <c r="AE40" s="9">
        <v>1</v>
      </c>
      <c r="AF40" s="9">
        <v>1</v>
      </c>
      <c r="AG40" s="9">
        <v>1</v>
      </c>
      <c r="AH40" s="9">
        <v>2</v>
      </c>
      <c r="AI40" s="9">
        <v>2</v>
      </c>
      <c r="AJ40" s="9">
        <v>2</v>
      </c>
      <c r="AK40" s="9">
        <v>1</v>
      </c>
      <c r="AL40" s="9">
        <v>31</v>
      </c>
      <c r="AM40" s="9">
        <v>1</v>
      </c>
      <c r="AN40" s="9">
        <v>1</v>
      </c>
      <c r="AO40" s="17" t="s">
        <v>359</v>
      </c>
      <c r="AQ40" s="9" t="s">
        <v>167</v>
      </c>
      <c r="AR40" s="9" t="s">
        <v>168</v>
      </c>
      <c r="AS40" s="9">
        <v>1</v>
      </c>
      <c r="AT40" s="9">
        <v>2</v>
      </c>
      <c r="AU40" s="9">
        <v>1</v>
      </c>
      <c r="AV40" s="9">
        <v>38</v>
      </c>
      <c r="AW40" s="9">
        <v>6</v>
      </c>
      <c r="AX40" s="37">
        <f t="shared" si="5"/>
        <v>38.857142857142854</v>
      </c>
      <c r="AY40" s="9">
        <v>1610</v>
      </c>
      <c r="AZ40" s="9">
        <v>3</v>
      </c>
      <c r="BA40" s="9">
        <v>3</v>
      </c>
      <c r="BB40" s="9">
        <v>41</v>
      </c>
      <c r="BC40" s="9">
        <v>3</v>
      </c>
      <c r="BD40" s="9">
        <v>30</v>
      </c>
      <c r="BE40" s="9">
        <v>3</v>
      </c>
      <c r="BF40" s="9">
        <v>2320</v>
      </c>
      <c r="BG40" s="9">
        <v>3</v>
      </c>
      <c r="BH40" s="9">
        <v>45</v>
      </c>
      <c r="BI40" s="9">
        <v>3</v>
      </c>
      <c r="BJ40" s="9">
        <v>32</v>
      </c>
      <c r="BK40" s="9">
        <v>4</v>
      </c>
      <c r="BL40" s="9">
        <v>1</v>
      </c>
      <c r="BN40" s="9">
        <v>1</v>
      </c>
      <c r="BP40" s="9">
        <v>1</v>
      </c>
      <c r="BR40" s="9">
        <v>1</v>
      </c>
      <c r="BS40" s="9">
        <v>1</v>
      </c>
      <c r="BT40" s="18">
        <v>45812</v>
      </c>
      <c r="BU40" s="18">
        <v>45485</v>
      </c>
      <c r="BV40" s="9">
        <v>1</v>
      </c>
      <c r="BW40" s="9">
        <v>1</v>
      </c>
      <c r="BX40" s="9">
        <v>0</v>
      </c>
      <c r="BY40" s="9">
        <v>1</v>
      </c>
      <c r="BZ40" s="9">
        <v>0</v>
      </c>
      <c r="CA40" s="9">
        <v>1</v>
      </c>
      <c r="CB40" s="18">
        <v>45447</v>
      </c>
      <c r="CC40" s="18">
        <v>45453</v>
      </c>
      <c r="CD40" s="9">
        <v>7</v>
      </c>
      <c r="CE40" s="49">
        <v>0.29520525443435602</v>
      </c>
      <c r="CF40" s="49">
        <v>0.30765008192235299</v>
      </c>
      <c r="CG40" s="49">
        <v>0.30419170639855397</v>
      </c>
      <c r="CH40" s="49">
        <v>0.28730694107406202</v>
      </c>
      <c r="CI40" s="49">
        <v>0.48966642718353998</v>
      </c>
      <c r="CJ40" s="49">
        <v>0.45413068031281101</v>
      </c>
      <c r="CK40" s="49">
        <v>0.43226357753740202</v>
      </c>
      <c r="CL40" s="49">
        <v>0.43106440644119998</v>
      </c>
      <c r="CM40" s="49">
        <v>0.38365523759873899</v>
      </c>
      <c r="CN40" s="49">
        <v>0.304484898902108</v>
      </c>
      <c r="CO40" s="49">
        <v>0.32679361721383499</v>
      </c>
      <c r="CP40" s="49">
        <v>0.322534245752291</v>
      </c>
      <c r="CQ40" s="49">
        <v>0.56862139803172296</v>
      </c>
      <c r="CR40" s="49">
        <v>0.62959047729803896</v>
      </c>
      <c r="CS40" s="49">
        <v>0.55992148250007401</v>
      </c>
      <c r="CT40" s="49">
        <v>0.59245372250531703</v>
      </c>
      <c r="CU40" s="49">
        <v>0.57030303030303098</v>
      </c>
      <c r="CV40" s="49">
        <v>0.50883838383838398</v>
      </c>
      <c r="CW40" s="49">
        <v>0.51843434343434402</v>
      </c>
      <c r="CX40" s="49">
        <v>0.50191197691197698</v>
      </c>
      <c r="CY40" s="49">
        <v>0.67307692307692302</v>
      </c>
      <c r="CZ40" s="49">
        <v>0.67735042735042705</v>
      </c>
      <c r="DA40" s="49">
        <v>0.683760683760683</v>
      </c>
      <c r="DB40" s="49">
        <v>0.683760683760683</v>
      </c>
      <c r="DC40" s="49">
        <v>0.52788895209073905</v>
      </c>
      <c r="DD40" s="49">
        <v>0.43644827541312098</v>
      </c>
      <c r="DE40" s="49">
        <v>0.47340365733115097</v>
      </c>
      <c r="DF40" s="49">
        <v>0.48235925418008402</v>
      </c>
      <c r="DG40" s="49">
        <v>0.77346789821054895</v>
      </c>
      <c r="DH40" s="49">
        <v>0.93101367515256905</v>
      </c>
      <c r="DI40" s="49">
        <v>0.86818250741342295</v>
      </c>
      <c r="DJ40" s="49">
        <v>0.93733331607774595</v>
      </c>
      <c r="DK40" s="49">
        <v>0.42564102564102602</v>
      </c>
      <c r="DL40" s="49">
        <v>0.34615384615384598</v>
      </c>
      <c r="DM40" s="49">
        <v>0.38717948717948703</v>
      </c>
      <c r="DN40" s="49">
        <v>0.39487179487179502</v>
      </c>
      <c r="DO40" s="49">
        <v>0.603479853479854</v>
      </c>
      <c r="DP40" s="49">
        <v>0.68992673992674003</v>
      </c>
      <c r="DQ40" s="49">
        <v>0.69438339438339403</v>
      </c>
      <c r="DR40" s="49">
        <v>0.71770451770451804</v>
      </c>
      <c r="DS40" s="49">
        <v>2.2363636363636399</v>
      </c>
      <c r="DT40" s="49">
        <v>2.6363636363636398</v>
      </c>
      <c r="DU40" s="49">
        <v>2.5454545454545499</v>
      </c>
      <c r="DV40" s="49">
        <v>2.7727272727272698</v>
      </c>
      <c r="DW40" s="49">
        <v>1.7564102564102599</v>
      </c>
      <c r="DX40" s="49">
        <v>1.7307692307692299</v>
      </c>
      <c r="DY40" s="49">
        <v>1.6923076923076901</v>
      </c>
      <c r="DZ40" s="49">
        <v>1.6923076923076901</v>
      </c>
      <c r="EA40" s="49">
        <v>44.144692401028102</v>
      </c>
      <c r="EB40" s="49">
        <v>14.1198617232067</v>
      </c>
      <c r="EC40" s="49">
        <v>4.5315643349516002</v>
      </c>
      <c r="ED40" s="49">
        <v>2.2824001532318801</v>
      </c>
      <c r="EE40" s="49">
        <v>175.35400325016101</v>
      </c>
      <c r="EF40" s="49">
        <v>47.821344604720601</v>
      </c>
      <c r="EG40" s="49">
        <v>10.869081572998599</v>
      </c>
      <c r="EH40" s="49">
        <v>3.6678103393722101</v>
      </c>
      <c r="EI40" s="49">
        <v>1.94394014526667</v>
      </c>
      <c r="EJ40" s="49">
        <v>217.217168502064</v>
      </c>
      <c r="EK40" s="49">
        <v>0.25174613400785001</v>
      </c>
      <c r="EL40" s="49">
        <v>8.0522038057284903E-2</v>
      </c>
      <c r="EM40" s="49">
        <v>2.5842377424864602E-2</v>
      </c>
      <c r="EN40" s="49">
        <v>1.30159569267192E-2</v>
      </c>
      <c r="EO40" s="49">
        <v>0.22015453444356201</v>
      </c>
      <c r="EP40" s="49">
        <v>5.0037856804561701E-2</v>
      </c>
      <c r="EQ40" s="49">
        <v>1.6885453229436399E-2</v>
      </c>
      <c r="ER40" s="49">
        <v>8.94929327489229E-3</v>
      </c>
    </row>
    <row r="41" spans="1:148" ht="28" customHeight="1">
      <c r="A41" s="9">
        <v>11</v>
      </c>
      <c r="B41" s="9">
        <f t="shared" si="3"/>
        <v>40</v>
      </c>
      <c r="C41">
        <v>40</v>
      </c>
      <c r="D41" s="9" t="s">
        <v>98</v>
      </c>
      <c r="E41" s="9">
        <v>67161719</v>
      </c>
      <c r="F41" s="37">
        <v>33.714285714285715</v>
      </c>
      <c r="G41" s="20">
        <v>3</v>
      </c>
      <c r="H41" s="9" t="s">
        <v>40</v>
      </c>
      <c r="I41" s="9">
        <f t="shared" si="4"/>
        <v>29</v>
      </c>
      <c r="J41" s="9" t="s">
        <v>528</v>
      </c>
      <c r="K41" s="9">
        <v>2</v>
      </c>
      <c r="M41" s="9" t="s">
        <v>16</v>
      </c>
      <c r="N41" s="17">
        <v>9696</v>
      </c>
      <c r="O41" s="45">
        <v>39.686468646864689</v>
      </c>
      <c r="P41" s="17">
        <v>3</v>
      </c>
      <c r="Q41" s="17">
        <v>1</v>
      </c>
      <c r="R41" s="18">
        <v>45526</v>
      </c>
      <c r="S41" s="9">
        <v>2</v>
      </c>
      <c r="T41" s="9">
        <v>0</v>
      </c>
      <c r="U41" s="9">
        <v>14</v>
      </c>
      <c r="V41" s="9">
        <v>14</v>
      </c>
      <c r="W41" s="9">
        <v>5</v>
      </c>
      <c r="X41" s="9">
        <v>2</v>
      </c>
      <c r="Y41" s="9">
        <v>5</v>
      </c>
      <c r="Z41" s="9">
        <v>11</v>
      </c>
      <c r="AA41" s="9">
        <v>1</v>
      </c>
      <c r="AB41" s="9">
        <v>2</v>
      </c>
      <c r="AC41" s="9">
        <v>7</v>
      </c>
      <c r="AD41" s="9">
        <v>10</v>
      </c>
      <c r="AE41" s="9">
        <v>1</v>
      </c>
      <c r="AF41" s="9">
        <v>2</v>
      </c>
      <c r="AG41" s="9">
        <v>1</v>
      </c>
      <c r="AH41" s="9">
        <v>2</v>
      </c>
      <c r="AI41" s="9">
        <v>2</v>
      </c>
      <c r="AJ41" s="9">
        <v>1</v>
      </c>
      <c r="AK41" s="9">
        <v>1</v>
      </c>
      <c r="AL41" s="9">
        <v>27</v>
      </c>
      <c r="AM41" s="9">
        <v>2</v>
      </c>
      <c r="AN41" s="9">
        <v>1</v>
      </c>
      <c r="AO41" s="17" t="s">
        <v>322</v>
      </c>
      <c r="AP41" s="31" t="s">
        <v>356</v>
      </c>
      <c r="AQ41" s="9" t="s">
        <v>177</v>
      </c>
      <c r="AR41" s="9" t="s">
        <v>176</v>
      </c>
      <c r="AS41" s="9">
        <v>1</v>
      </c>
      <c r="AT41" s="9">
        <v>2</v>
      </c>
      <c r="AU41" s="9">
        <v>1</v>
      </c>
      <c r="AV41" s="9">
        <v>40</v>
      </c>
      <c r="AW41" s="9">
        <v>3</v>
      </c>
      <c r="AX41" s="37">
        <f t="shared" si="5"/>
        <v>40.428571428571431</v>
      </c>
      <c r="AY41" s="9">
        <v>1365</v>
      </c>
      <c r="AZ41" s="9">
        <v>2</v>
      </c>
      <c r="BA41" s="9">
        <v>2</v>
      </c>
      <c r="BB41" s="9">
        <v>40</v>
      </c>
      <c r="BC41" s="9">
        <v>1</v>
      </c>
      <c r="BD41" s="9">
        <v>28</v>
      </c>
      <c r="BE41" s="9">
        <v>2</v>
      </c>
      <c r="BF41" s="9">
        <v>2100</v>
      </c>
      <c r="BG41" s="9">
        <v>1</v>
      </c>
      <c r="BH41" s="9">
        <v>45</v>
      </c>
      <c r="BI41" s="9">
        <v>1</v>
      </c>
      <c r="BJ41" s="9">
        <v>33</v>
      </c>
      <c r="BK41" s="9">
        <v>2</v>
      </c>
      <c r="BL41" s="9">
        <v>1</v>
      </c>
      <c r="BN41" s="9">
        <v>1</v>
      </c>
      <c r="BP41" s="9">
        <v>1</v>
      </c>
      <c r="BR41" s="9">
        <v>1</v>
      </c>
      <c r="BS41" s="9">
        <v>1</v>
      </c>
      <c r="BT41" s="42">
        <v>45505</v>
      </c>
      <c r="BU41" s="18">
        <v>45553</v>
      </c>
      <c r="BV41" s="9">
        <v>1</v>
      </c>
      <c r="BW41" s="9">
        <v>1</v>
      </c>
      <c r="BX41" s="9">
        <v>0</v>
      </c>
      <c r="BY41" s="9">
        <v>2</v>
      </c>
      <c r="BZ41" s="9">
        <v>40</v>
      </c>
      <c r="CA41" s="9">
        <v>1</v>
      </c>
      <c r="CB41" s="18">
        <v>45506</v>
      </c>
      <c r="CC41" s="18">
        <v>45518</v>
      </c>
      <c r="CD41" s="9">
        <v>13</v>
      </c>
      <c r="CE41" s="49">
        <v>0.26352136269755899</v>
      </c>
      <c r="CF41" s="49">
        <v>0.25846182858605199</v>
      </c>
      <c r="CG41" s="49">
        <v>0.25924559685163001</v>
      </c>
      <c r="CH41" s="49">
        <v>0.238677507478254</v>
      </c>
      <c r="CI41" s="49">
        <v>0.38723371152705399</v>
      </c>
      <c r="CJ41" s="49">
        <v>0.37228295597285299</v>
      </c>
      <c r="CK41" s="49">
        <v>0.34921936239965601</v>
      </c>
      <c r="CL41" s="49">
        <v>0.333187533786936</v>
      </c>
      <c r="CM41" s="49">
        <v>0.41238070346398498</v>
      </c>
      <c r="CN41" s="49">
        <v>0.39685935812498802</v>
      </c>
      <c r="CO41" s="49">
        <v>0.35002556828344</v>
      </c>
      <c r="CP41" s="49">
        <v>0.38027896090190999</v>
      </c>
      <c r="CQ41" s="49">
        <v>0.49725646661709899</v>
      </c>
      <c r="CR41" s="49">
        <v>0.48080864216562202</v>
      </c>
      <c r="CS41" s="49">
        <v>0.44911382314301901</v>
      </c>
      <c r="CT41" s="49">
        <v>0.48740112275136699</v>
      </c>
      <c r="CU41" s="49">
        <v>0.63888888888888895</v>
      </c>
      <c r="CV41" s="49">
        <v>0.61851851851851902</v>
      </c>
      <c r="CW41" s="49">
        <v>0.63703703703703696</v>
      </c>
      <c r="CX41" s="49">
        <v>0.61851851851851902</v>
      </c>
      <c r="CY41" s="49">
        <v>0.76060606060606095</v>
      </c>
      <c r="CZ41" s="49">
        <v>0.763636363636364</v>
      </c>
      <c r="DA41" s="49">
        <v>0.76969696969696999</v>
      </c>
      <c r="DB41" s="49">
        <v>0.77878787878787903</v>
      </c>
      <c r="DC41" s="49">
        <v>0.57500211386024003</v>
      </c>
      <c r="DD41" s="49">
        <v>0.54839489876841496</v>
      </c>
      <c r="DE41" s="49">
        <v>0.50404347817913697</v>
      </c>
      <c r="DF41" s="49">
        <v>0.58466607661179304</v>
      </c>
      <c r="DG41" s="49">
        <v>0.68301101809102505</v>
      </c>
      <c r="DH41" s="49">
        <v>0.70063007179066294</v>
      </c>
      <c r="DI41" s="49">
        <v>0.70270768665106198</v>
      </c>
      <c r="DJ41" s="49">
        <v>0.81084915110446398</v>
      </c>
      <c r="DK41" s="49">
        <v>0.49633699633699602</v>
      </c>
      <c r="DL41" s="49">
        <v>0.507692307692308</v>
      </c>
      <c r="DM41" s="49">
        <v>0.38974358974359002</v>
      </c>
      <c r="DN41" s="49">
        <v>0.497435897435897</v>
      </c>
      <c r="DO41" s="49">
        <v>0.54963369963370001</v>
      </c>
      <c r="DP41" s="49">
        <v>0.58571428571428596</v>
      </c>
      <c r="DQ41" s="49">
        <v>0.54542124542124504</v>
      </c>
      <c r="DR41" s="49">
        <v>0.68229548229548198</v>
      </c>
      <c r="DS41" s="49">
        <v>1.8888888888888899</v>
      </c>
      <c r="DT41" s="49">
        <v>2.0222222222222199</v>
      </c>
      <c r="DU41" s="49">
        <v>1.9111111111111101</v>
      </c>
      <c r="DV41" s="49">
        <v>2.0444444444444398</v>
      </c>
      <c r="DW41" s="49">
        <v>1.5636363636363599</v>
      </c>
      <c r="DX41" s="49">
        <v>1.5454545454545501</v>
      </c>
      <c r="DY41" s="49">
        <v>1.5090909090909099</v>
      </c>
      <c r="DZ41" s="49">
        <v>1.4545454545454499</v>
      </c>
      <c r="EA41" s="49">
        <v>35.446749196200201</v>
      </c>
      <c r="EB41" s="49">
        <v>11.967059300474499</v>
      </c>
      <c r="EC41" s="49">
        <v>3.9279512935734902</v>
      </c>
      <c r="ED41" s="49">
        <v>1.76402748894207</v>
      </c>
      <c r="EE41" s="49">
        <v>157.32509161693599</v>
      </c>
      <c r="EF41" s="49">
        <v>78.039179907339701</v>
      </c>
      <c r="EG41" s="49">
        <v>15.392597603962001</v>
      </c>
      <c r="EH41" s="49">
        <v>5.7658025339677597</v>
      </c>
      <c r="EI41" s="49">
        <v>3.0233615404703</v>
      </c>
      <c r="EJ41" s="49">
        <v>307.495395898335</v>
      </c>
      <c r="EK41" s="49">
        <v>0.22530893725781401</v>
      </c>
      <c r="EL41" s="49">
        <v>7.6065802202820804E-2</v>
      </c>
      <c r="EM41" s="49">
        <v>2.4967099991509801E-2</v>
      </c>
      <c r="EN41" s="49">
        <v>1.12126264845103E-2</v>
      </c>
      <c r="EO41" s="49">
        <v>0.25378975083302102</v>
      </c>
      <c r="EP41" s="49">
        <v>5.0057977482860103E-2</v>
      </c>
      <c r="EQ41" s="49">
        <v>1.8750858096991001E-2</v>
      </c>
      <c r="ER41" s="49">
        <v>9.8322172650347102E-3</v>
      </c>
    </row>
    <row r="42" spans="1:148" ht="28" customHeight="1">
      <c r="A42" s="9">
        <v>44</v>
      </c>
      <c r="B42" s="9">
        <f t="shared" si="3"/>
        <v>41</v>
      </c>
      <c r="C42">
        <v>41</v>
      </c>
      <c r="D42" s="9" t="s">
        <v>120</v>
      </c>
      <c r="E42" s="9">
        <v>67144581</v>
      </c>
      <c r="F42" s="37">
        <v>31.714285714285715</v>
      </c>
      <c r="G42" s="9">
        <v>2</v>
      </c>
      <c r="H42" s="9" t="s">
        <v>15</v>
      </c>
      <c r="I42" s="9">
        <f t="shared" si="4"/>
        <v>26</v>
      </c>
      <c r="J42" s="9" t="s">
        <v>86</v>
      </c>
      <c r="K42" s="9">
        <v>2</v>
      </c>
      <c r="M42" s="9" t="s">
        <v>11</v>
      </c>
      <c r="N42" s="17">
        <v>3032</v>
      </c>
      <c r="O42" s="45">
        <v>35.092348284960423</v>
      </c>
      <c r="P42" s="17">
        <v>3</v>
      </c>
      <c r="Q42" s="17">
        <v>1</v>
      </c>
      <c r="R42" s="18">
        <v>45511</v>
      </c>
      <c r="S42" s="9">
        <v>2</v>
      </c>
      <c r="T42" s="9">
        <v>0</v>
      </c>
      <c r="U42" s="9">
        <v>18</v>
      </c>
      <c r="V42" s="9">
        <v>18</v>
      </c>
      <c r="W42" s="9">
        <v>3</v>
      </c>
      <c r="X42" s="9">
        <v>0</v>
      </c>
      <c r="Y42" s="9">
        <v>7</v>
      </c>
      <c r="Z42" s="9">
        <v>7</v>
      </c>
      <c r="AA42" s="9">
        <v>2</v>
      </c>
      <c r="AB42" s="9">
        <v>1</v>
      </c>
      <c r="AC42" s="9">
        <v>9</v>
      </c>
      <c r="AD42" s="9">
        <v>10</v>
      </c>
      <c r="AE42" s="9">
        <v>1</v>
      </c>
      <c r="AF42" s="9">
        <v>2</v>
      </c>
      <c r="AG42" s="9">
        <v>1</v>
      </c>
      <c r="AH42" s="9">
        <v>2</v>
      </c>
      <c r="AI42" s="9">
        <v>1</v>
      </c>
      <c r="AJ42" s="9">
        <v>1</v>
      </c>
      <c r="AK42" s="9">
        <v>1</v>
      </c>
      <c r="AL42" s="9">
        <v>34</v>
      </c>
      <c r="AM42" s="9">
        <v>2</v>
      </c>
      <c r="AN42" s="9">
        <v>1</v>
      </c>
      <c r="AO42" s="9">
        <v>1</v>
      </c>
      <c r="AP42" s="31" t="s">
        <v>393</v>
      </c>
      <c r="AQ42" s="65" t="s">
        <v>394</v>
      </c>
      <c r="AR42" s="9" t="s">
        <v>135</v>
      </c>
      <c r="AS42" s="9">
        <v>1</v>
      </c>
      <c r="AT42" s="9">
        <v>2</v>
      </c>
      <c r="AV42" s="9">
        <v>35</v>
      </c>
      <c r="AW42" s="9">
        <v>6</v>
      </c>
      <c r="AX42" s="37">
        <f t="shared" si="5"/>
        <v>35.857142857142854</v>
      </c>
      <c r="AY42" s="9">
        <v>1710</v>
      </c>
      <c r="AZ42" s="9">
        <v>3</v>
      </c>
      <c r="BA42" s="9">
        <v>4</v>
      </c>
      <c r="BB42" s="9">
        <v>43</v>
      </c>
      <c r="BC42" s="9">
        <v>4</v>
      </c>
      <c r="BD42" s="9">
        <v>30</v>
      </c>
      <c r="BE42" s="9">
        <v>4</v>
      </c>
      <c r="BF42" s="9">
        <v>2210</v>
      </c>
      <c r="BG42" s="9">
        <v>3</v>
      </c>
      <c r="BH42" s="9">
        <v>46</v>
      </c>
      <c r="BI42" s="9">
        <v>3</v>
      </c>
      <c r="BJ42" s="9">
        <v>32</v>
      </c>
      <c r="BK42" s="9">
        <v>3</v>
      </c>
      <c r="BL42" s="9">
        <v>1</v>
      </c>
      <c r="BN42" s="9">
        <v>1</v>
      </c>
      <c r="BP42" s="9">
        <v>2</v>
      </c>
      <c r="BQ42" s="9">
        <v>1</v>
      </c>
      <c r="BR42" s="9">
        <v>1</v>
      </c>
      <c r="BS42" s="9">
        <v>1</v>
      </c>
      <c r="BT42" s="42">
        <v>45490</v>
      </c>
      <c r="BU42" s="32">
        <v>45520</v>
      </c>
      <c r="BV42" s="9">
        <v>1</v>
      </c>
      <c r="BW42" s="9">
        <v>1</v>
      </c>
      <c r="BX42" s="9">
        <v>0</v>
      </c>
      <c r="BY42" s="9">
        <v>2</v>
      </c>
      <c r="BZ42" s="9">
        <v>40</v>
      </c>
      <c r="CA42" s="9">
        <v>1</v>
      </c>
      <c r="CB42" s="18">
        <v>45490</v>
      </c>
      <c r="CC42" s="18">
        <v>45509</v>
      </c>
      <c r="CD42" s="9">
        <v>20</v>
      </c>
      <c r="CE42" s="49">
        <v>0.273402216070875</v>
      </c>
      <c r="CF42" s="49">
        <v>0.23797089495759599</v>
      </c>
      <c r="CG42" s="49">
        <v>0.27672402293620202</v>
      </c>
      <c r="CH42" s="49">
        <v>0.24591425273602399</v>
      </c>
      <c r="CI42" s="49">
        <v>0.43565398951935302</v>
      </c>
      <c r="CJ42" s="49">
        <v>0.38811866224549002</v>
      </c>
      <c r="CK42" s="49">
        <v>0.38325952862653101</v>
      </c>
      <c r="CL42" s="49">
        <v>0.37748755530667999</v>
      </c>
      <c r="CM42" s="49">
        <v>0.44455653537447498</v>
      </c>
      <c r="CN42" s="49">
        <v>0.27071921518340503</v>
      </c>
      <c r="CO42" s="49">
        <v>0.26000045055441701</v>
      </c>
      <c r="CP42" s="49">
        <v>0.35328378315814002</v>
      </c>
      <c r="CQ42" s="49">
        <v>0.46442785424001798</v>
      </c>
      <c r="CR42" s="49">
        <v>0.36542254588529</v>
      </c>
      <c r="CS42" s="49">
        <v>0.41194679698850301</v>
      </c>
      <c r="CT42" s="49">
        <v>0.43002872574713602</v>
      </c>
      <c r="CU42" s="49">
        <v>0.69369369369369405</v>
      </c>
      <c r="CV42" s="49">
        <v>0.67567567567567599</v>
      </c>
      <c r="CW42" s="49">
        <v>0.625925925925926</v>
      </c>
      <c r="CX42" s="49">
        <v>0.69212962962962998</v>
      </c>
      <c r="CY42" s="49">
        <v>0.69191919191919204</v>
      </c>
      <c r="CZ42" s="49">
        <v>0.71338383838383901</v>
      </c>
      <c r="DA42" s="49">
        <v>0.71717171717171702</v>
      </c>
      <c r="DB42" s="49">
        <v>0.71212121212121204</v>
      </c>
      <c r="DC42" s="49">
        <v>0.53197177285768205</v>
      </c>
      <c r="DD42" s="49">
        <v>0.35441952494244799</v>
      </c>
      <c r="DE42" s="49">
        <v>0.324708240193812</v>
      </c>
      <c r="DF42" s="49">
        <v>0.45552128912430601</v>
      </c>
      <c r="DG42" s="49">
        <v>0.61006362078399501</v>
      </c>
      <c r="DH42" s="49">
        <v>0.55557321395631398</v>
      </c>
      <c r="DI42" s="49">
        <v>0.64121103586508399</v>
      </c>
      <c r="DJ42" s="49">
        <v>0.67987437984146704</v>
      </c>
      <c r="DK42" s="49">
        <v>0.42307692307692302</v>
      </c>
      <c r="DL42" s="49">
        <v>0.29743589743589799</v>
      </c>
      <c r="DM42" s="49">
        <v>0.27179487179487199</v>
      </c>
      <c r="DN42" s="49">
        <v>0.37692307692307703</v>
      </c>
      <c r="DO42" s="49">
        <v>0.51245421245421197</v>
      </c>
      <c r="DP42" s="49">
        <v>0.45934065934065899</v>
      </c>
      <c r="DQ42" s="49">
        <v>0.498107448107448</v>
      </c>
      <c r="DR42" s="49">
        <v>0.53650793650793704</v>
      </c>
      <c r="DS42" s="49">
        <v>1.7027027027027</v>
      </c>
      <c r="DT42" s="49">
        <v>1.8378378378378399</v>
      </c>
      <c r="DU42" s="49">
        <v>2</v>
      </c>
      <c r="DV42" s="49">
        <v>1.75</v>
      </c>
      <c r="DW42" s="49">
        <v>1.8181818181818199</v>
      </c>
      <c r="DX42" s="49">
        <v>1.6666666666666701</v>
      </c>
      <c r="DY42" s="49">
        <v>1.63636363636364</v>
      </c>
      <c r="DZ42" s="49">
        <v>1.6666666666666701</v>
      </c>
      <c r="EA42" s="49">
        <v>51.345516721107501</v>
      </c>
      <c r="EB42" s="49">
        <v>9.9471050913419301</v>
      </c>
      <c r="EC42" s="49">
        <v>4.56612068756339</v>
      </c>
      <c r="ED42" s="49">
        <v>2.5318910189714701</v>
      </c>
      <c r="EE42" s="49">
        <v>284.255786336276</v>
      </c>
      <c r="EF42" s="49">
        <v>84.127466086664995</v>
      </c>
      <c r="EG42" s="49">
        <v>13.3769443794908</v>
      </c>
      <c r="EH42" s="49">
        <v>4.1993642333445198</v>
      </c>
      <c r="EI42" s="49">
        <v>2.9740889598314402</v>
      </c>
      <c r="EJ42" s="49">
        <v>429.08679622252498</v>
      </c>
      <c r="EK42" s="49">
        <v>0.18063138619934899</v>
      </c>
      <c r="EL42" s="49">
        <v>3.4993500816811698E-2</v>
      </c>
      <c r="EM42" s="49">
        <v>1.6063422125598002E-2</v>
      </c>
      <c r="EN42" s="49">
        <v>8.9070869993697604E-3</v>
      </c>
      <c r="EO42" s="49">
        <v>0.196061651925165</v>
      </c>
      <c r="EP42" s="49">
        <v>3.1175381058692601E-2</v>
      </c>
      <c r="EQ42" s="49">
        <v>9.7867477403492994E-3</v>
      </c>
      <c r="ER42" s="49">
        <v>6.9312059611572703E-3</v>
      </c>
    </row>
    <row r="43" spans="1:148" ht="28" customHeight="1">
      <c r="A43" s="17">
        <v>77</v>
      </c>
      <c r="B43" s="9">
        <f t="shared" si="3"/>
        <v>42</v>
      </c>
      <c r="C43">
        <v>42</v>
      </c>
      <c r="D43" s="9" t="s">
        <v>219</v>
      </c>
      <c r="E43" s="9">
        <v>66880271</v>
      </c>
      <c r="F43" s="37">
        <v>30.714285714285715</v>
      </c>
      <c r="G43" s="9">
        <v>2</v>
      </c>
      <c r="H43" s="18">
        <v>45258</v>
      </c>
      <c r="I43" s="20">
        <f t="shared" si="4"/>
        <v>21</v>
      </c>
      <c r="J43" s="9" t="s">
        <v>228</v>
      </c>
      <c r="K43" s="9">
        <v>2</v>
      </c>
      <c r="M43" s="29">
        <v>45237</v>
      </c>
      <c r="N43" s="17">
        <v>10768</v>
      </c>
      <c r="O43" s="45">
        <v>15.824665676077265</v>
      </c>
      <c r="P43" s="17">
        <v>2</v>
      </c>
      <c r="Q43" s="17">
        <v>1</v>
      </c>
      <c r="R43" s="18">
        <v>45269</v>
      </c>
      <c r="S43" s="9">
        <v>2</v>
      </c>
      <c r="T43" s="9">
        <v>2</v>
      </c>
      <c r="U43" s="9">
        <v>10</v>
      </c>
      <c r="V43" s="9">
        <v>12</v>
      </c>
      <c r="W43" s="9">
        <v>5</v>
      </c>
      <c r="X43" s="9">
        <v>0</v>
      </c>
      <c r="Y43" s="9">
        <v>6</v>
      </c>
      <c r="Z43" s="9">
        <v>5</v>
      </c>
      <c r="AA43" s="9">
        <v>1</v>
      </c>
      <c r="AB43" s="9">
        <v>2</v>
      </c>
      <c r="AC43" s="9">
        <v>3</v>
      </c>
      <c r="AD43" s="9">
        <v>8</v>
      </c>
      <c r="AE43" s="9">
        <v>1</v>
      </c>
      <c r="AF43" s="9">
        <v>2</v>
      </c>
      <c r="AG43" s="9">
        <v>1</v>
      </c>
      <c r="AH43" s="9">
        <v>2</v>
      </c>
      <c r="AI43" s="9">
        <v>1</v>
      </c>
      <c r="AJ43" s="9">
        <v>1</v>
      </c>
      <c r="AK43" s="9">
        <v>1</v>
      </c>
      <c r="AL43" s="9">
        <v>27</v>
      </c>
      <c r="AM43" s="9">
        <v>2</v>
      </c>
      <c r="AN43" s="9">
        <v>1</v>
      </c>
      <c r="AO43" s="9" t="s">
        <v>485</v>
      </c>
      <c r="AP43" s="9" t="s">
        <v>486</v>
      </c>
      <c r="AQ43" s="9" t="s">
        <v>487</v>
      </c>
      <c r="AR43" s="9" t="s">
        <v>488</v>
      </c>
      <c r="AS43" s="9">
        <v>1</v>
      </c>
      <c r="AT43" s="9">
        <v>2</v>
      </c>
      <c r="AU43" s="9">
        <v>1</v>
      </c>
      <c r="AV43" s="9">
        <v>37</v>
      </c>
      <c r="AW43" s="9">
        <v>0</v>
      </c>
      <c r="AX43" s="37">
        <f t="shared" si="5"/>
        <v>37</v>
      </c>
      <c r="AY43" s="9">
        <v>1750</v>
      </c>
      <c r="AZ43" s="9">
        <v>3</v>
      </c>
      <c r="BA43" s="9">
        <v>4</v>
      </c>
      <c r="BB43" s="9">
        <v>40</v>
      </c>
      <c r="BC43" s="9">
        <v>3</v>
      </c>
      <c r="BD43" s="9">
        <v>28</v>
      </c>
      <c r="BE43" s="9">
        <v>3</v>
      </c>
      <c r="BF43" s="9">
        <v>2900</v>
      </c>
      <c r="BG43" s="9">
        <v>3</v>
      </c>
      <c r="BH43" s="9">
        <v>38</v>
      </c>
      <c r="BI43" s="9">
        <v>3</v>
      </c>
      <c r="BJ43" s="9">
        <v>32</v>
      </c>
      <c r="BK43" s="9">
        <v>4</v>
      </c>
      <c r="BL43" s="9">
        <v>1</v>
      </c>
      <c r="BN43" s="9">
        <v>2</v>
      </c>
      <c r="BO43" s="9">
        <v>1</v>
      </c>
      <c r="BP43" s="9">
        <v>1</v>
      </c>
      <c r="BR43" s="9">
        <v>1</v>
      </c>
      <c r="BS43" s="9">
        <v>1</v>
      </c>
      <c r="BT43" s="18">
        <v>45237</v>
      </c>
      <c r="BU43" s="18">
        <v>45281</v>
      </c>
      <c r="BV43" s="9">
        <v>1</v>
      </c>
      <c r="BW43" s="9">
        <v>1</v>
      </c>
      <c r="BX43" s="9">
        <v>0</v>
      </c>
      <c r="BY43" s="9">
        <v>1</v>
      </c>
      <c r="BZ43" s="9">
        <v>0</v>
      </c>
      <c r="CA43" s="9">
        <v>1</v>
      </c>
      <c r="CB43" s="18">
        <v>45237</v>
      </c>
      <c r="CC43" s="18">
        <v>45253</v>
      </c>
      <c r="CD43" s="9">
        <v>17</v>
      </c>
      <c r="CE43" s="49">
        <v>0.16678838942864099</v>
      </c>
      <c r="CF43" s="49">
        <v>0.19974656331980301</v>
      </c>
      <c r="CG43" s="49">
        <v>0.19682986365998301</v>
      </c>
      <c r="CH43" s="49">
        <v>0.19524675466486199</v>
      </c>
      <c r="CI43" s="49">
        <v>0.32653651594442601</v>
      </c>
      <c r="CJ43" s="49">
        <v>0.30889727821473301</v>
      </c>
      <c r="CK43" s="49">
        <v>0.29986107807733198</v>
      </c>
      <c r="CL43" s="49">
        <v>0.29208443708069898</v>
      </c>
      <c r="CM43" s="49">
        <v>0.48484196963654402</v>
      </c>
      <c r="CN43" s="49">
        <v>0.39219911889088399</v>
      </c>
      <c r="CO43" s="49">
        <v>0.32089964062608001</v>
      </c>
      <c r="CP43" s="49">
        <v>0.34911580796936498</v>
      </c>
      <c r="CQ43" s="49">
        <v>0.47560763389625499</v>
      </c>
      <c r="CR43" s="49">
        <v>0.38992211622435802</v>
      </c>
      <c r="CS43" s="49">
        <v>0.44281360683502602</v>
      </c>
      <c r="CT43" s="49">
        <v>0.39548282404374802</v>
      </c>
      <c r="CU43" s="49">
        <v>0.83333333333333304</v>
      </c>
      <c r="CV43" s="49">
        <v>0.61111111111111105</v>
      </c>
      <c r="CW43" s="49">
        <v>0.61481481481481504</v>
      </c>
      <c r="CX43" s="49">
        <v>0.62222222222222201</v>
      </c>
      <c r="CY43" s="49">
        <v>0.77272727272727304</v>
      </c>
      <c r="CZ43" s="49">
        <v>0.71969696969696995</v>
      </c>
      <c r="DA43" s="49">
        <v>0.70833333333333304</v>
      </c>
      <c r="DB43" s="49">
        <v>0.71969696969696995</v>
      </c>
      <c r="DC43" s="49">
        <v>0.73644885533785398</v>
      </c>
      <c r="DD43" s="49">
        <v>0.65784252430152601</v>
      </c>
      <c r="DE43" s="49">
        <v>0.53769027798909097</v>
      </c>
      <c r="DF43" s="49">
        <v>0.60839083936198302</v>
      </c>
      <c r="DG43" s="49">
        <v>0.78858314046585198</v>
      </c>
      <c r="DH43" s="49">
        <v>0.76549565653855201</v>
      </c>
      <c r="DI43" s="49">
        <v>0.87252092544587301</v>
      </c>
      <c r="DJ43" s="49">
        <v>0.80384284666206696</v>
      </c>
      <c r="DK43" s="49">
        <v>0.61282051282051297</v>
      </c>
      <c r="DL43" s="49">
        <v>0.58205128205128198</v>
      </c>
      <c r="DM43" s="49">
        <v>0.505128205128205</v>
      </c>
      <c r="DN43" s="49">
        <v>0.502564102564103</v>
      </c>
      <c r="DO43" s="49">
        <v>0.57893772893772899</v>
      </c>
      <c r="DP43" s="49">
        <v>0.57692307692307698</v>
      </c>
      <c r="DQ43" s="49">
        <v>0.694139194139194</v>
      </c>
      <c r="DR43" s="49">
        <v>0.59706959706959695</v>
      </c>
      <c r="DS43" s="49">
        <v>1.3333333333333299</v>
      </c>
      <c r="DT43" s="49">
        <v>2.1111111111111098</v>
      </c>
      <c r="DU43" s="49">
        <v>2.0888888888888899</v>
      </c>
      <c r="DV43" s="49">
        <v>2.0222222222222199</v>
      </c>
      <c r="DW43" s="49">
        <v>1.4909090909090901</v>
      </c>
      <c r="DX43" s="49">
        <v>1.62121212121212</v>
      </c>
      <c r="DY43" s="49">
        <v>1.6969696969696999</v>
      </c>
      <c r="DZ43" s="49">
        <v>1.62121212121212</v>
      </c>
      <c r="EA43" s="49">
        <v>22.5072522884116</v>
      </c>
      <c r="EB43" s="49">
        <v>8.4922318249592497</v>
      </c>
      <c r="EC43" s="49">
        <v>2.3627519798387899</v>
      </c>
      <c r="ED43" s="49">
        <v>1.4975608452059299</v>
      </c>
      <c r="EE43" s="49">
        <v>118.816850720792</v>
      </c>
      <c r="EF43" s="49">
        <v>41.586235407564097</v>
      </c>
      <c r="EG43" s="49">
        <v>13.360286993185699</v>
      </c>
      <c r="EH43" s="49">
        <v>4.7953782679752797</v>
      </c>
      <c r="EI43" s="49">
        <v>2.7714758051739201</v>
      </c>
      <c r="EJ43" s="49">
        <v>261.27196669253198</v>
      </c>
      <c r="EK43" s="49">
        <v>0.189428116903228</v>
      </c>
      <c r="EL43" s="49">
        <v>7.1473295020376706E-2</v>
      </c>
      <c r="EM43" s="49">
        <v>1.98856640746271E-2</v>
      </c>
      <c r="EN43" s="49">
        <v>1.2603943263275399E-2</v>
      </c>
      <c r="EO43" s="49">
        <v>0.159168378965445</v>
      </c>
      <c r="EP43" s="49">
        <v>5.1135554886790599E-2</v>
      </c>
      <c r="EQ43" s="49">
        <v>1.83539716437261E-2</v>
      </c>
      <c r="ER43" s="49">
        <v>1.06076279068831E-2</v>
      </c>
    </row>
    <row r="44" spans="1:148" ht="28" customHeight="1">
      <c r="A44" s="17">
        <v>9</v>
      </c>
      <c r="B44" s="9">
        <f t="shared" si="3"/>
        <v>43</v>
      </c>
      <c r="C44">
        <v>43</v>
      </c>
      <c r="D44" s="9" t="s">
        <v>213</v>
      </c>
      <c r="E44" s="9">
        <v>67140215</v>
      </c>
      <c r="F44" s="37">
        <v>27.571428571428573</v>
      </c>
      <c r="G44" s="20">
        <v>1</v>
      </c>
      <c r="H44" s="22">
        <v>45542</v>
      </c>
      <c r="I44" s="20">
        <f t="shared" si="4"/>
        <v>55</v>
      </c>
      <c r="J44" s="28" t="s">
        <v>86</v>
      </c>
      <c r="K44" s="9">
        <v>1</v>
      </c>
      <c r="L44" s="9">
        <v>1</v>
      </c>
      <c r="M44" s="22">
        <v>45487</v>
      </c>
      <c r="N44" s="17">
        <v>8528</v>
      </c>
      <c r="O44" s="45">
        <v>0</v>
      </c>
      <c r="P44" s="17">
        <v>1</v>
      </c>
      <c r="Q44" s="17">
        <v>1</v>
      </c>
      <c r="R44" s="18">
        <v>45541</v>
      </c>
      <c r="S44" s="9">
        <v>2</v>
      </c>
      <c r="T44" s="9">
        <v>6</v>
      </c>
      <c r="U44" s="9">
        <v>48</v>
      </c>
      <c r="V44" s="9">
        <v>54</v>
      </c>
      <c r="W44" s="9">
        <v>10</v>
      </c>
      <c r="X44" s="9">
        <v>24</v>
      </c>
      <c r="Y44" s="9">
        <v>14</v>
      </c>
      <c r="Z44" s="9">
        <v>17</v>
      </c>
      <c r="AA44" s="9">
        <v>1</v>
      </c>
      <c r="AB44" s="9">
        <v>1</v>
      </c>
      <c r="AC44" s="9">
        <v>8</v>
      </c>
      <c r="AD44" s="9">
        <v>9</v>
      </c>
      <c r="AE44" s="9">
        <v>1</v>
      </c>
      <c r="AF44" s="9">
        <v>2</v>
      </c>
      <c r="AG44" s="9">
        <v>2</v>
      </c>
      <c r="AH44" s="9">
        <v>1</v>
      </c>
      <c r="AI44" s="9">
        <v>1</v>
      </c>
      <c r="AJ44" s="9">
        <v>1</v>
      </c>
      <c r="AK44" s="9">
        <v>2</v>
      </c>
      <c r="AL44" s="9">
        <v>31</v>
      </c>
      <c r="AM44" s="9">
        <v>2</v>
      </c>
      <c r="AN44" s="9">
        <v>1</v>
      </c>
      <c r="AO44" s="9" t="s">
        <v>461</v>
      </c>
      <c r="AP44" s="9" t="s">
        <v>462</v>
      </c>
      <c r="AQ44" s="9" t="s">
        <v>463</v>
      </c>
      <c r="AR44" s="9" t="s">
        <v>464</v>
      </c>
      <c r="AS44" s="9">
        <v>1</v>
      </c>
      <c r="AT44" s="9">
        <v>2</v>
      </c>
      <c r="AU44" s="9">
        <v>3</v>
      </c>
      <c r="AV44" s="9">
        <v>36</v>
      </c>
      <c r="AW44" s="9">
        <v>1</v>
      </c>
      <c r="AX44" s="37">
        <f t="shared" si="5"/>
        <v>36.142857142857146</v>
      </c>
      <c r="AY44" s="9">
        <v>1030</v>
      </c>
      <c r="AZ44" s="9">
        <v>2</v>
      </c>
      <c r="BA44" s="9">
        <v>4</v>
      </c>
      <c r="BB44" s="9">
        <v>37</v>
      </c>
      <c r="BC44" s="9">
        <v>4</v>
      </c>
      <c r="BD44" s="9">
        <v>26</v>
      </c>
      <c r="BE44" s="9">
        <v>4</v>
      </c>
      <c r="BF44" s="9">
        <v>2040</v>
      </c>
      <c r="BG44" s="9">
        <v>1</v>
      </c>
      <c r="BH44" s="9">
        <v>42</v>
      </c>
      <c r="BI44" s="9">
        <v>1</v>
      </c>
      <c r="BJ44" s="9">
        <v>30</v>
      </c>
      <c r="BK44" s="9">
        <v>1</v>
      </c>
      <c r="BL44" s="9">
        <v>1</v>
      </c>
      <c r="BN44" s="9">
        <v>2</v>
      </c>
      <c r="BO44" s="9">
        <v>1</v>
      </c>
      <c r="BP44" s="9">
        <v>1</v>
      </c>
      <c r="BR44" s="9">
        <v>2</v>
      </c>
      <c r="BS44" s="9">
        <v>2</v>
      </c>
      <c r="BT44" s="18">
        <v>45487</v>
      </c>
      <c r="BU44" s="18">
        <v>45547</v>
      </c>
      <c r="BV44" s="9">
        <v>2</v>
      </c>
      <c r="BW44" s="9">
        <v>1</v>
      </c>
      <c r="BX44" s="9">
        <v>0</v>
      </c>
      <c r="BY44" s="9">
        <v>2</v>
      </c>
      <c r="BZ44" s="9">
        <v>45</v>
      </c>
      <c r="CA44" s="9">
        <v>1</v>
      </c>
      <c r="CB44" s="18">
        <v>45487</v>
      </c>
      <c r="CC44" s="18">
        <v>45539</v>
      </c>
      <c r="CD44" s="9">
        <v>53</v>
      </c>
      <c r="CE44" s="49">
        <v>0.30409321513225301</v>
      </c>
      <c r="CF44" s="49">
        <v>0.34648849754417899</v>
      </c>
      <c r="CG44" s="49">
        <v>0.35666278844766502</v>
      </c>
      <c r="CH44" s="49">
        <v>0.350842388865239</v>
      </c>
      <c r="CI44" s="49">
        <v>0.48445638513119899</v>
      </c>
      <c r="CJ44" s="49">
        <v>0.50082324795678701</v>
      </c>
      <c r="CK44" s="49">
        <v>0.524798629090518</v>
      </c>
      <c r="CL44" s="49">
        <v>0.52258936844939996</v>
      </c>
      <c r="CM44" s="49">
        <v>0.483518692610099</v>
      </c>
      <c r="CN44" s="49">
        <v>0.495239502789945</v>
      </c>
      <c r="CO44" s="49">
        <v>0.50532233148878103</v>
      </c>
      <c r="CP44" s="49">
        <v>0.49130110519777398</v>
      </c>
      <c r="CQ44" s="49">
        <v>0.62789798103797201</v>
      </c>
      <c r="CR44" s="49">
        <v>0.65728112775863201</v>
      </c>
      <c r="CS44" s="49">
        <v>0.686538896910315</v>
      </c>
      <c r="CT44" s="49">
        <v>0.68321237397275403</v>
      </c>
      <c r="CU44" s="49">
        <v>0.59592592592592597</v>
      </c>
      <c r="CV44" s="49">
        <v>0.54424242424242397</v>
      </c>
      <c r="CW44" s="49">
        <v>0.54424242424242397</v>
      </c>
      <c r="CX44" s="49">
        <v>0.53969696969697001</v>
      </c>
      <c r="CY44" s="49">
        <v>0.71969696969696995</v>
      </c>
      <c r="CZ44" s="49">
        <v>0.709595959595959</v>
      </c>
      <c r="DA44" s="49">
        <v>0.709595959595959</v>
      </c>
      <c r="DB44" s="49">
        <v>0.709595959595959</v>
      </c>
      <c r="DC44" s="49">
        <v>0.54233332826826297</v>
      </c>
      <c r="DD44" s="49">
        <v>0.54103251486078496</v>
      </c>
      <c r="DE44" s="49">
        <v>0.54103251486078496</v>
      </c>
      <c r="DF44" s="49">
        <v>0.53122431512728896</v>
      </c>
      <c r="DG44" s="49">
        <v>0.78157838521062994</v>
      </c>
      <c r="DH44" s="49">
        <v>0.78373749193825804</v>
      </c>
      <c r="DI44" s="49">
        <v>0.78373749193825804</v>
      </c>
      <c r="DJ44" s="49">
        <v>0.78373749193825804</v>
      </c>
      <c r="DK44" s="49">
        <v>0.482051282051282</v>
      </c>
      <c r="DL44" s="49">
        <v>0.47948717948718</v>
      </c>
      <c r="DM44" s="49">
        <v>0.47948717948718</v>
      </c>
      <c r="DN44" s="49">
        <v>0.46153846153846201</v>
      </c>
      <c r="DO44" s="49">
        <v>0.65982905982906004</v>
      </c>
      <c r="DP44" s="49">
        <v>0.63956043956043995</v>
      </c>
      <c r="DQ44" s="49">
        <v>0.63956043956043995</v>
      </c>
      <c r="DR44" s="49">
        <v>0.63956043956043995</v>
      </c>
      <c r="DS44" s="49">
        <v>2.2666666666666702</v>
      </c>
      <c r="DT44" s="49">
        <v>2.52727272727273</v>
      </c>
      <c r="DU44" s="49">
        <v>2.52727272727273</v>
      </c>
      <c r="DV44" s="49">
        <v>2.5636363636363599</v>
      </c>
      <c r="DW44" s="49">
        <v>1.62121212121212</v>
      </c>
      <c r="DX44" s="49">
        <v>1.6818181818181801</v>
      </c>
      <c r="DY44" s="49">
        <v>1.6818181818181801</v>
      </c>
      <c r="DZ44" s="49">
        <v>1.6818181818181801</v>
      </c>
      <c r="EA44" s="49">
        <v>36.336232580710401</v>
      </c>
      <c r="EB44" s="49">
        <v>21.670398566483001</v>
      </c>
      <c r="EC44" s="49">
        <v>7.1964729859528198</v>
      </c>
      <c r="ED44" s="49">
        <v>3.3760940614335402</v>
      </c>
      <c r="EE44" s="49">
        <v>178.10310092060101</v>
      </c>
      <c r="EF44" s="49">
        <v>39.295543594911997</v>
      </c>
      <c r="EG44" s="49">
        <v>18.138413546195601</v>
      </c>
      <c r="EH44" s="49">
        <v>6.3293836731582598</v>
      </c>
      <c r="EI44" s="49">
        <v>3.0743224731375598</v>
      </c>
      <c r="EJ44" s="49">
        <v>187.53054135286999</v>
      </c>
      <c r="EK44" s="49">
        <v>0.20401796708137801</v>
      </c>
      <c r="EL44" s="49">
        <v>0.12167333670481</v>
      </c>
      <c r="EM44" s="49">
        <v>4.0406219480485298E-2</v>
      </c>
      <c r="EN44" s="49">
        <v>1.8955840993125798E-2</v>
      </c>
      <c r="EO44" s="49">
        <v>0.20954210077691299</v>
      </c>
      <c r="EP44" s="49">
        <v>9.6722450729053E-2</v>
      </c>
      <c r="EQ44" s="49">
        <v>3.3751215282040302E-2</v>
      </c>
      <c r="ER44" s="49">
        <v>1.6393716196620601E-2</v>
      </c>
    </row>
    <row r="45" spans="1:148" ht="28" customHeight="1">
      <c r="A45" s="9">
        <v>28</v>
      </c>
      <c r="B45" s="9">
        <f t="shared" si="3"/>
        <v>44</v>
      </c>
      <c r="C45">
        <v>44</v>
      </c>
      <c r="D45" s="20" t="s">
        <v>112</v>
      </c>
      <c r="E45" s="20">
        <v>67086596</v>
      </c>
      <c r="F45" s="37">
        <v>33.857142857142854</v>
      </c>
      <c r="G45" s="20">
        <v>3</v>
      </c>
      <c r="H45" s="23" t="s">
        <v>84</v>
      </c>
      <c r="I45" s="24">
        <f t="shared" si="4"/>
        <v>22</v>
      </c>
      <c r="J45" s="25" t="s">
        <v>525</v>
      </c>
      <c r="K45" s="9">
        <v>1</v>
      </c>
      <c r="L45" s="9">
        <v>1</v>
      </c>
      <c r="M45" s="23" t="s">
        <v>80</v>
      </c>
      <c r="N45" s="17">
        <v>4640</v>
      </c>
      <c r="O45" s="45">
        <v>0</v>
      </c>
      <c r="P45" s="17">
        <v>1</v>
      </c>
      <c r="Q45" s="17">
        <v>1</v>
      </c>
      <c r="R45" s="18">
        <v>45435</v>
      </c>
      <c r="S45" s="9">
        <v>1</v>
      </c>
      <c r="T45" s="9">
        <v>0</v>
      </c>
      <c r="U45" s="9">
        <v>0</v>
      </c>
      <c r="V45" s="9">
        <v>0</v>
      </c>
      <c r="W45" s="9">
        <v>1</v>
      </c>
      <c r="X45" s="9">
        <v>0</v>
      </c>
      <c r="Y45" s="9">
        <v>2</v>
      </c>
      <c r="Z45" s="9">
        <v>10</v>
      </c>
      <c r="AA45" s="9">
        <v>2</v>
      </c>
      <c r="AB45" s="9">
        <v>1</v>
      </c>
      <c r="AC45" s="9">
        <v>10</v>
      </c>
      <c r="AD45" s="9">
        <v>10</v>
      </c>
      <c r="AE45" s="9">
        <v>1</v>
      </c>
      <c r="AF45" s="9">
        <v>2</v>
      </c>
      <c r="AG45" s="9">
        <v>1</v>
      </c>
      <c r="AH45" s="9">
        <v>2</v>
      </c>
      <c r="AI45" s="9">
        <v>1</v>
      </c>
      <c r="AJ45" s="9">
        <v>1</v>
      </c>
      <c r="AK45" s="9">
        <v>2</v>
      </c>
      <c r="AL45" s="9">
        <v>29</v>
      </c>
      <c r="AM45" s="9">
        <v>2</v>
      </c>
      <c r="AN45" s="9">
        <v>1</v>
      </c>
      <c r="AO45" s="17" t="s">
        <v>376</v>
      </c>
      <c r="AP45" s="31" t="s">
        <v>377</v>
      </c>
      <c r="AQ45" s="9" t="s">
        <v>151</v>
      </c>
      <c r="AR45" s="9" t="s">
        <v>150</v>
      </c>
      <c r="AS45" s="9">
        <v>1</v>
      </c>
      <c r="AT45" s="9">
        <v>2</v>
      </c>
      <c r="AU45" s="9">
        <v>1</v>
      </c>
      <c r="AV45" s="9">
        <v>37</v>
      </c>
      <c r="AW45" s="9">
        <v>0</v>
      </c>
      <c r="AX45" s="37">
        <f t="shared" si="5"/>
        <v>37</v>
      </c>
      <c r="AY45" s="9">
        <v>1980</v>
      </c>
      <c r="AZ45" s="9">
        <v>3</v>
      </c>
      <c r="BA45" s="9">
        <v>3</v>
      </c>
      <c r="BB45" s="9">
        <v>44</v>
      </c>
      <c r="BC45" s="9">
        <v>3</v>
      </c>
      <c r="BD45" s="9">
        <v>33</v>
      </c>
      <c r="BE45" s="9">
        <v>4</v>
      </c>
      <c r="BF45" s="9">
        <v>2370</v>
      </c>
      <c r="BG45" s="9">
        <v>2</v>
      </c>
      <c r="BH45" s="9">
        <v>46</v>
      </c>
      <c r="BI45" s="9">
        <v>2</v>
      </c>
      <c r="BJ45" s="9">
        <v>34</v>
      </c>
      <c r="BK45" s="9">
        <v>2</v>
      </c>
      <c r="BL45" s="9">
        <v>1</v>
      </c>
      <c r="BN45" s="9">
        <v>1</v>
      </c>
      <c r="BP45" s="9">
        <v>1</v>
      </c>
      <c r="BR45" s="9" t="s">
        <v>335</v>
      </c>
      <c r="BS45" s="9">
        <v>1</v>
      </c>
      <c r="BT45" s="42">
        <v>45432</v>
      </c>
      <c r="BU45" s="18">
        <v>45453</v>
      </c>
      <c r="BV45" s="9">
        <v>1</v>
      </c>
      <c r="BW45" s="9">
        <v>1</v>
      </c>
      <c r="BX45" s="9">
        <v>0</v>
      </c>
      <c r="BY45" s="9">
        <v>1</v>
      </c>
      <c r="BZ45" s="9">
        <v>0</v>
      </c>
      <c r="CA45" s="9">
        <v>1</v>
      </c>
      <c r="CB45" s="18"/>
      <c r="CC45" s="18"/>
      <c r="CD45" s="9">
        <v>0</v>
      </c>
      <c r="CE45" s="49">
        <v>0.42233377434508501</v>
      </c>
      <c r="CF45" s="49">
        <v>0.28483417858587301</v>
      </c>
      <c r="CG45" s="49">
        <v>0.40459400213580998</v>
      </c>
      <c r="CH45" s="49">
        <v>0.40709398188812501</v>
      </c>
      <c r="CI45" s="49">
        <v>0.54955966585956095</v>
      </c>
      <c r="CJ45" s="49">
        <v>0.57144348504902398</v>
      </c>
      <c r="CK45" s="49">
        <v>0.59265382582628301</v>
      </c>
      <c r="CL45" s="49">
        <v>0.56428616432619105</v>
      </c>
      <c r="CM45" s="49">
        <v>0.43052347470175201</v>
      </c>
      <c r="CN45" s="49">
        <v>0.444523638107368</v>
      </c>
      <c r="CO45" s="49">
        <v>0.34601016542503998</v>
      </c>
      <c r="CP45" s="49">
        <v>0.30820876789262402</v>
      </c>
      <c r="CQ45" s="49">
        <v>0.77417009859263097</v>
      </c>
      <c r="CR45" s="49">
        <v>0.72017755825005603</v>
      </c>
      <c r="CS45" s="49">
        <v>0.74783459558483201</v>
      </c>
      <c r="CT45" s="49">
        <v>0.72883532978610299</v>
      </c>
      <c r="CU45" s="49">
        <v>0.46892551892551898</v>
      </c>
      <c r="CV45" s="49">
        <v>0.68518518518518501</v>
      </c>
      <c r="CW45" s="49">
        <v>0.44028286528286598</v>
      </c>
      <c r="CX45" s="49">
        <v>0.45154151404151399</v>
      </c>
      <c r="CY45" s="49">
        <v>0.670940170940171</v>
      </c>
      <c r="CZ45" s="49">
        <v>0.68162393162393098</v>
      </c>
      <c r="DA45" s="49">
        <v>0.68162393162393098</v>
      </c>
      <c r="DB45" s="49">
        <v>0.670940170940171</v>
      </c>
      <c r="DC45" s="49">
        <v>0.47660002697354398</v>
      </c>
      <c r="DD45" s="49">
        <v>0.49526110941271301</v>
      </c>
      <c r="DE45" s="49">
        <v>0.37627697702400997</v>
      </c>
      <c r="DF45" s="49">
        <v>0.34046030361395802</v>
      </c>
      <c r="DG45" s="49">
        <v>0.94075609749011102</v>
      </c>
      <c r="DH45" s="49">
        <v>0.85335406655767498</v>
      </c>
      <c r="DI45" s="49">
        <v>0.857070617188464</v>
      </c>
      <c r="DJ45" s="49">
        <v>0.86330935814784904</v>
      </c>
      <c r="DK45" s="49">
        <v>0.43589743589743601</v>
      </c>
      <c r="DL45" s="49">
        <v>0.38461538461538503</v>
      </c>
      <c r="DM45" s="49">
        <v>0.29487179487179499</v>
      </c>
      <c r="DN45" s="49">
        <v>0.269230769230769</v>
      </c>
      <c r="DO45" s="49">
        <v>0.73589743589743595</v>
      </c>
      <c r="DP45" s="49">
        <v>0.75191475191475199</v>
      </c>
      <c r="DQ45" s="49">
        <v>0.76993006993006996</v>
      </c>
      <c r="DR45" s="49">
        <v>0.71385836385836399</v>
      </c>
      <c r="DS45" s="49">
        <v>2.9230769230769198</v>
      </c>
      <c r="DT45" s="49">
        <v>1.80555555555556</v>
      </c>
      <c r="DU45" s="49">
        <v>3.4871794871794899</v>
      </c>
      <c r="DV45" s="49">
        <v>3.2692307692307701</v>
      </c>
      <c r="DW45" s="49">
        <v>1.7692307692307701</v>
      </c>
      <c r="DX45" s="49">
        <v>1.70512820512821</v>
      </c>
      <c r="DY45" s="49">
        <v>1.70512820512821</v>
      </c>
      <c r="DZ45" s="49">
        <v>1.7692307692307701</v>
      </c>
      <c r="EA45" s="49">
        <v>99.864539109422097</v>
      </c>
      <c r="EB45" s="49">
        <v>56.598796807610597</v>
      </c>
      <c r="EC45" s="49">
        <v>21.282515927334099</v>
      </c>
      <c r="ED45" s="49">
        <v>9.1787157349394306</v>
      </c>
      <c r="EE45" s="49">
        <v>412.935003655586</v>
      </c>
      <c r="EF45" s="49">
        <v>121.80322437424201</v>
      </c>
      <c r="EG45" s="49">
        <v>62.953663145567603</v>
      </c>
      <c r="EH45" s="49">
        <v>21.863156854505199</v>
      </c>
      <c r="EI45" s="49">
        <v>10.9039547801171</v>
      </c>
      <c r="EJ45" s="49">
        <v>555.83405171653203</v>
      </c>
      <c r="EK45" s="49">
        <v>0.24184081810781899</v>
      </c>
      <c r="EL45" s="49">
        <v>0.13706466225086</v>
      </c>
      <c r="EM45" s="49">
        <v>5.1539626669879199E-2</v>
      </c>
      <c r="EN45" s="49">
        <v>2.22279914603584E-2</v>
      </c>
      <c r="EO45" s="49">
        <v>0.219135952534912</v>
      </c>
      <c r="EP45" s="49">
        <v>0.113259817298263</v>
      </c>
      <c r="EQ45" s="49">
        <v>3.9333964493515901E-2</v>
      </c>
      <c r="ER45" s="49">
        <v>1.96172845950035E-2</v>
      </c>
    </row>
    <row r="46" spans="1:148" ht="28" customHeight="1">
      <c r="A46" s="9">
        <v>8</v>
      </c>
      <c r="B46" s="9">
        <f t="shared" si="3"/>
        <v>45</v>
      </c>
      <c r="C46">
        <v>45</v>
      </c>
      <c r="D46" s="9" t="s">
        <v>96</v>
      </c>
      <c r="E46" s="9">
        <v>67210670</v>
      </c>
      <c r="F46" s="37">
        <v>33.142857142857146</v>
      </c>
      <c r="G46" s="20">
        <v>3</v>
      </c>
      <c r="H46" s="9" t="s">
        <v>20</v>
      </c>
      <c r="I46" s="9">
        <f t="shared" si="4"/>
        <v>15</v>
      </c>
      <c r="J46" s="9" t="s">
        <v>526</v>
      </c>
      <c r="K46" s="9">
        <v>1</v>
      </c>
      <c r="L46" s="9">
        <v>1</v>
      </c>
      <c r="M46" s="9" t="s">
        <v>35</v>
      </c>
      <c r="N46" s="17">
        <v>5318</v>
      </c>
      <c r="O46" s="45">
        <v>0</v>
      </c>
      <c r="P46" s="17">
        <v>1</v>
      </c>
      <c r="Q46" s="17">
        <v>1</v>
      </c>
      <c r="R46" s="18">
        <v>45566</v>
      </c>
      <c r="S46" s="9">
        <v>1</v>
      </c>
      <c r="T46" s="9">
        <v>0</v>
      </c>
      <c r="U46" s="9">
        <v>0</v>
      </c>
      <c r="V46" s="9">
        <v>0</v>
      </c>
      <c r="W46" s="9">
        <v>2</v>
      </c>
      <c r="X46" s="9">
        <v>0</v>
      </c>
      <c r="Y46" s="9">
        <v>5</v>
      </c>
      <c r="Z46" s="9">
        <v>5</v>
      </c>
      <c r="AA46" s="9">
        <v>2</v>
      </c>
      <c r="AB46" s="9">
        <v>1</v>
      </c>
      <c r="AC46" s="9">
        <v>7</v>
      </c>
      <c r="AD46" s="9">
        <v>9</v>
      </c>
      <c r="AE46" s="9">
        <v>1</v>
      </c>
      <c r="AF46" s="9">
        <v>2</v>
      </c>
      <c r="AG46" s="9">
        <v>1</v>
      </c>
      <c r="AH46" s="9">
        <v>2</v>
      </c>
      <c r="AI46" s="9">
        <v>1</v>
      </c>
      <c r="AJ46" s="9">
        <v>1</v>
      </c>
      <c r="AK46" s="9">
        <v>1</v>
      </c>
      <c r="AL46" s="9">
        <v>39</v>
      </c>
      <c r="AM46" s="9">
        <v>3</v>
      </c>
      <c r="AN46" s="9">
        <v>1</v>
      </c>
      <c r="AO46" s="17" t="s">
        <v>319</v>
      </c>
      <c r="AP46" s="31" t="s">
        <v>351</v>
      </c>
      <c r="AQ46" s="17" t="s">
        <v>352</v>
      </c>
      <c r="AR46" s="17" t="s">
        <v>353</v>
      </c>
      <c r="AS46" s="9">
        <v>1</v>
      </c>
      <c r="AT46" s="9">
        <v>2</v>
      </c>
      <c r="AU46" s="9">
        <v>1</v>
      </c>
      <c r="AV46" s="9">
        <v>36</v>
      </c>
      <c r="AW46" s="9">
        <v>4</v>
      </c>
      <c r="AX46" s="37">
        <f t="shared" si="5"/>
        <v>36.571428571428569</v>
      </c>
      <c r="AY46" s="9">
        <v>2050</v>
      </c>
      <c r="AZ46" s="9">
        <v>3</v>
      </c>
      <c r="BA46" s="9">
        <v>4</v>
      </c>
      <c r="BB46" s="9">
        <v>42</v>
      </c>
      <c r="BC46" s="9">
        <v>3</v>
      </c>
      <c r="BD46" s="9">
        <v>32</v>
      </c>
      <c r="BE46" s="9">
        <v>5</v>
      </c>
      <c r="BF46" s="9">
        <v>2250</v>
      </c>
      <c r="BG46" s="9">
        <v>3</v>
      </c>
      <c r="BH46" s="9">
        <v>46</v>
      </c>
      <c r="BI46" s="9">
        <v>3</v>
      </c>
      <c r="BJ46" s="9">
        <v>33</v>
      </c>
      <c r="BK46" s="9">
        <v>3</v>
      </c>
      <c r="BL46" s="9">
        <v>1</v>
      </c>
      <c r="BN46" s="9">
        <v>1</v>
      </c>
      <c r="BP46" s="9">
        <v>1</v>
      </c>
      <c r="BR46" s="9">
        <v>1</v>
      </c>
      <c r="BS46" s="9">
        <v>1</v>
      </c>
      <c r="BT46" s="42">
        <v>45558</v>
      </c>
      <c r="BU46" s="18">
        <v>45582</v>
      </c>
      <c r="BV46" s="9">
        <v>1</v>
      </c>
      <c r="BW46" s="9">
        <v>1</v>
      </c>
      <c r="BX46" s="9">
        <v>0</v>
      </c>
      <c r="BY46" s="9">
        <v>1</v>
      </c>
      <c r="BZ46" s="9">
        <v>0</v>
      </c>
      <c r="CA46" s="9">
        <v>1</v>
      </c>
      <c r="CB46" s="18">
        <v>45561</v>
      </c>
      <c r="CC46" s="18">
        <v>45567</v>
      </c>
      <c r="CD46" s="9">
        <v>7</v>
      </c>
      <c r="CE46" s="49">
        <v>0.24656412157444399</v>
      </c>
      <c r="CF46" s="49">
        <v>0.21418679720015299</v>
      </c>
      <c r="CG46" s="49">
        <v>0.23773991554663099</v>
      </c>
      <c r="CH46" s="49">
        <v>0.27235569489156902</v>
      </c>
      <c r="CI46" s="49">
        <v>0.387951041219457</v>
      </c>
      <c r="CJ46" s="49">
        <v>0.32698203063841502</v>
      </c>
      <c r="CK46" s="49">
        <v>0.31242599486487299</v>
      </c>
      <c r="CL46" s="49">
        <v>0.30423322686566601</v>
      </c>
      <c r="CM46" s="49">
        <v>0.43607101498486001</v>
      </c>
      <c r="CN46" s="49">
        <v>0.34917919859364999</v>
      </c>
      <c r="CO46" s="49">
        <v>0.35449459539118799</v>
      </c>
      <c r="CP46" s="49">
        <v>0.26529894590547798</v>
      </c>
      <c r="CQ46" s="49">
        <v>0.51421690295301603</v>
      </c>
      <c r="CR46" s="49">
        <v>0.36875569255041402</v>
      </c>
      <c r="CS46" s="49">
        <v>0.34492653146685198</v>
      </c>
      <c r="CT46" s="49">
        <v>0.37726657929941498</v>
      </c>
      <c r="CU46" s="49">
        <v>0.69907407407407396</v>
      </c>
      <c r="CV46" s="49">
        <v>0.68468468468468502</v>
      </c>
      <c r="CW46" s="49">
        <v>0.61594202898550798</v>
      </c>
      <c r="CX46" s="49">
        <v>0.50101010101010102</v>
      </c>
      <c r="CY46" s="49">
        <v>0.76969696969696999</v>
      </c>
      <c r="CZ46" s="49">
        <v>0.69318181818181801</v>
      </c>
      <c r="DA46" s="49">
        <v>0.71212121212121204</v>
      </c>
      <c r="DB46" s="49">
        <v>0.69065656565656597</v>
      </c>
      <c r="DC46" s="49">
        <v>0.55374973361330604</v>
      </c>
      <c r="DD46" s="49">
        <v>0.51119722938823497</v>
      </c>
      <c r="DE46" s="49">
        <v>0.51784542388072496</v>
      </c>
      <c r="DF46" s="49">
        <v>0.36923076923076897</v>
      </c>
      <c r="DG46" s="49">
        <v>0.70857156878503802</v>
      </c>
      <c r="DH46" s="49">
        <v>0.63863090709942405</v>
      </c>
      <c r="DI46" s="49">
        <v>0.63400521587647996</v>
      </c>
      <c r="DJ46" s="49">
        <v>0.71155258317749703</v>
      </c>
      <c r="DK46" s="49">
        <v>0.44871794871794901</v>
      </c>
      <c r="DL46" s="49">
        <v>0.43589743589743601</v>
      </c>
      <c r="DM46" s="49">
        <v>0.47435897435897401</v>
      </c>
      <c r="DN46" s="49">
        <v>0.36923076923076897</v>
      </c>
      <c r="DO46" s="49">
        <v>0.56465201465201498</v>
      </c>
      <c r="DP46" s="49">
        <v>0.494871794871795</v>
      </c>
      <c r="DQ46" s="49">
        <v>0.53327228327228304</v>
      </c>
      <c r="DR46" s="49">
        <v>0.61336996336996297</v>
      </c>
      <c r="DS46" s="49">
        <v>1.69444444444444</v>
      </c>
      <c r="DT46" s="49">
        <v>1.7567567567567599</v>
      </c>
      <c r="DU46" s="49">
        <v>2.0434782608695699</v>
      </c>
      <c r="DV46" s="49">
        <v>2.7878787878787898</v>
      </c>
      <c r="DW46" s="49">
        <v>1.5090909090909099</v>
      </c>
      <c r="DX46" s="49">
        <v>1.8181818181818199</v>
      </c>
      <c r="DY46" s="49">
        <v>1.6666666666666701</v>
      </c>
      <c r="DZ46" s="49">
        <v>1.8333333333333299</v>
      </c>
      <c r="EA46" s="49">
        <v>30.780309898362599</v>
      </c>
      <c r="EB46" s="49">
        <v>6.6615575464429897</v>
      </c>
      <c r="EC46" s="49">
        <v>2.9695377503913898</v>
      </c>
      <c r="ED46" s="49">
        <v>1.8692898068635</v>
      </c>
      <c r="EE46" s="49">
        <v>166.48578195444199</v>
      </c>
      <c r="EF46" s="49">
        <v>51.476148239109797</v>
      </c>
      <c r="EG46" s="49">
        <v>6.63541920037619</v>
      </c>
      <c r="EH46" s="49">
        <v>2.5622705851233198</v>
      </c>
      <c r="EI46" s="49">
        <v>1.89963342650565</v>
      </c>
      <c r="EJ46" s="49">
        <v>334.92550893543398</v>
      </c>
      <c r="EK46" s="49">
        <v>0.18488251391212199</v>
      </c>
      <c r="EL46" s="49">
        <v>4.0012771470574603E-2</v>
      </c>
      <c r="EM46" s="49">
        <v>1.78365846952864E-2</v>
      </c>
      <c r="EN46" s="49">
        <v>1.12279246006426E-2</v>
      </c>
      <c r="EO46" s="49">
        <v>0.153694319679404</v>
      </c>
      <c r="EP46" s="49">
        <v>1.9811626834477201E-2</v>
      </c>
      <c r="EQ46" s="49">
        <v>7.6502700354700902E-3</v>
      </c>
      <c r="ER46" s="49">
        <v>5.6718087330632702E-3</v>
      </c>
    </row>
    <row r="47" spans="1:148" ht="28" customHeight="1">
      <c r="A47" s="9">
        <v>56</v>
      </c>
      <c r="B47" s="9">
        <f t="shared" si="3"/>
        <v>46</v>
      </c>
      <c r="C47">
        <v>46</v>
      </c>
      <c r="D47" s="9" t="s">
        <v>190</v>
      </c>
      <c r="E47" s="9">
        <v>67207539</v>
      </c>
      <c r="F47" s="37">
        <v>32.428571428571431</v>
      </c>
      <c r="G47" s="20">
        <v>3</v>
      </c>
      <c r="H47" s="9" t="s">
        <v>25</v>
      </c>
      <c r="I47" s="9">
        <f t="shared" si="4"/>
        <v>27</v>
      </c>
      <c r="J47" s="9" t="s">
        <v>527</v>
      </c>
      <c r="K47" s="9">
        <v>1</v>
      </c>
      <c r="L47" s="9">
        <v>1</v>
      </c>
      <c r="M47" s="9" t="s">
        <v>38</v>
      </c>
      <c r="N47" s="17">
        <v>4144</v>
      </c>
      <c r="O47" s="45">
        <v>0</v>
      </c>
      <c r="P47" s="17">
        <v>1</v>
      </c>
      <c r="Q47" s="17">
        <v>1</v>
      </c>
      <c r="R47" s="18">
        <v>45565</v>
      </c>
      <c r="S47" s="9">
        <v>2</v>
      </c>
      <c r="T47" s="9">
        <v>0</v>
      </c>
      <c r="U47" s="9">
        <v>9</v>
      </c>
      <c r="V47" s="9">
        <v>9</v>
      </c>
      <c r="W47" s="9">
        <v>6</v>
      </c>
      <c r="X47" s="9">
        <v>4</v>
      </c>
      <c r="Y47" s="9">
        <v>8</v>
      </c>
      <c r="Z47" s="9">
        <v>7</v>
      </c>
      <c r="AA47" s="9">
        <v>2</v>
      </c>
      <c r="AB47" s="9">
        <v>2</v>
      </c>
      <c r="AC47" s="9">
        <v>10</v>
      </c>
      <c r="AD47" s="9">
        <v>10</v>
      </c>
      <c r="AE47" s="9">
        <v>1</v>
      </c>
      <c r="AF47" s="9">
        <v>2</v>
      </c>
      <c r="AG47" s="9">
        <v>1</v>
      </c>
      <c r="AH47" s="9">
        <v>2</v>
      </c>
      <c r="AI47" s="9">
        <v>1</v>
      </c>
      <c r="AJ47" s="9">
        <v>1</v>
      </c>
      <c r="AK47" s="9">
        <v>1</v>
      </c>
      <c r="AL47" s="9">
        <v>29</v>
      </c>
      <c r="AM47" s="9">
        <v>2</v>
      </c>
      <c r="AN47" s="9">
        <v>1</v>
      </c>
      <c r="AO47" s="17" t="s">
        <v>408</v>
      </c>
      <c r="AP47" s="31" t="s">
        <v>409</v>
      </c>
      <c r="AQ47" s="9" t="s">
        <v>192</v>
      </c>
      <c r="AR47" s="9" t="s">
        <v>413</v>
      </c>
      <c r="AS47" s="9">
        <v>1</v>
      </c>
      <c r="AT47" s="9">
        <v>2</v>
      </c>
      <c r="AU47" s="9">
        <v>1</v>
      </c>
      <c r="AV47" s="9">
        <v>36</v>
      </c>
      <c r="AW47" s="9">
        <v>2</v>
      </c>
      <c r="AX47" s="37">
        <f t="shared" si="5"/>
        <v>36.285714285714285</v>
      </c>
      <c r="AY47" s="9">
        <v>1690</v>
      </c>
      <c r="AZ47" s="9">
        <v>3</v>
      </c>
      <c r="BA47" s="9">
        <v>3</v>
      </c>
      <c r="BB47" s="9">
        <v>38</v>
      </c>
      <c r="BC47" s="9">
        <v>3</v>
      </c>
      <c r="BD47" s="9">
        <v>30</v>
      </c>
      <c r="BE47" s="9">
        <v>3</v>
      </c>
      <c r="BF47" s="9">
        <v>2010</v>
      </c>
      <c r="BG47" s="9">
        <v>2</v>
      </c>
      <c r="BH47" s="9">
        <v>43</v>
      </c>
      <c r="BI47" s="9">
        <v>2</v>
      </c>
      <c r="BJ47" s="9">
        <v>32</v>
      </c>
      <c r="BK47" s="9">
        <v>3</v>
      </c>
      <c r="BL47" s="9">
        <v>1</v>
      </c>
      <c r="BN47" s="9">
        <v>1</v>
      </c>
      <c r="BP47" s="9">
        <v>1</v>
      </c>
      <c r="BR47" s="9">
        <v>1</v>
      </c>
      <c r="BS47" s="9">
        <v>1</v>
      </c>
      <c r="BT47" s="42">
        <v>45554</v>
      </c>
      <c r="BU47" s="32">
        <v>45582</v>
      </c>
      <c r="BV47" s="9">
        <v>1</v>
      </c>
      <c r="BW47" s="9">
        <v>1</v>
      </c>
      <c r="BX47" s="9">
        <v>0</v>
      </c>
      <c r="BY47" s="9">
        <v>1</v>
      </c>
      <c r="BZ47" s="9">
        <v>0</v>
      </c>
      <c r="CA47" s="9">
        <v>1</v>
      </c>
      <c r="CB47" s="18">
        <v>45554</v>
      </c>
      <c r="CC47" s="18">
        <v>45565</v>
      </c>
      <c r="CD47" s="9">
        <v>12</v>
      </c>
      <c r="CE47" s="49">
        <v>0.20086017971940101</v>
      </c>
      <c r="CF47" s="49">
        <v>0.19138308945777299</v>
      </c>
      <c r="CG47" s="49">
        <v>0.18554888497925201</v>
      </c>
      <c r="CH47" s="49">
        <v>0.18029408353445101</v>
      </c>
      <c r="CI47" s="49">
        <v>0.37731963913720801</v>
      </c>
      <c r="CJ47" s="49">
        <v>0.35648957367876799</v>
      </c>
      <c r="CK47" s="49">
        <v>0.33962323764315799</v>
      </c>
      <c r="CL47" s="49">
        <v>0.31340323485740701</v>
      </c>
      <c r="CM47" s="49">
        <v>0.44440130127917199</v>
      </c>
      <c r="CN47" s="49">
        <v>0.403666200091369</v>
      </c>
      <c r="CO47" s="49">
        <v>0.31275418789474202</v>
      </c>
      <c r="CP47" s="49">
        <v>0.37929071816859899</v>
      </c>
      <c r="CQ47" s="49">
        <v>0.53230149243884906</v>
      </c>
      <c r="CR47" s="49">
        <v>0.50940439826341799</v>
      </c>
      <c r="CS47" s="49">
        <v>0.37497766909873198</v>
      </c>
      <c r="CT47" s="49">
        <v>0.45666672292970001</v>
      </c>
      <c r="CU47" s="49">
        <v>0.72580645161290303</v>
      </c>
      <c r="CV47" s="49">
        <v>0.78571428571428603</v>
      </c>
      <c r="CW47" s="49">
        <v>0.77011494252873602</v>
      </c>
      <c r="CX47" s="49">
        <v>0.78571428571428603</v>
      </c>
      <c r="CY47" s="49">
        <v>0.72474747474747503</v>
      </c>
      <c r="CZ47" s="49">
        <v>0.71969696969696995</v>
      </c>
      <c r="DA47" s="49">
        <v>0.70454545454545503</v>
      </c>
      <c r="DB47" s="49">
        <v>0.78181818181818197</v>
      </c>
      <c r="DC47" s="49">
        <v>0.61286491090650996</v>
      </c>
      <c r="DD47" s="49">
        <v>0.58950611715293999</v>
      </c>
      <c r="DE47" s="49">
        <v>0.465204908209156</v>
      </c>
      <c r="DF47" s="49">
        <v>0.58770677648220704</v>
      </c>
      <c r="DG47" s="49">
        <v>0.86293579949765797</v>
      </c>
      <c r="DH47" s="49">
        <v>0.87742754441183302</v>
      </c>
      <c r="DI47" s="49">
        <v>0.62976441132081196</v>
      </c>
      <c r="DJ47" s="49">
        <v>0.81742025186113998</v>
      </c>
      <c r="DK47" s="49">
        <v>0.55384615384615399</v>
      </c>
      <c r="DL47" s="49">
        <v>0.49706959706959702</v>
      </c>
      <c r="DM47" s="49">
        <v>0.41025641025641002</v>
      </c>
      <c r="DN47" s="49">
        <v>0.49706959706959702</v>
      </c>
      <c r="DO47" s="49">
        <v>0.64798534798534801</v>
      </c>
      <c r="DP47" s="49">
        <v>0.71709401709401699</v>
      </c>
      <c r="DQ47" s="49">
        <v>0.54023199023198998</v>
      </c>
      <c r="DR47" s="49">
        <v>0.71684981684981697</v>
      </c>
      <c r="DS47" s="49">
        <v>1.67741935483871</v>
      </c>
      <c r="DT47" s="49">
        <v>1.4285714285714299</v>
      </c>
      <c r="DU47" s="49">
        <v>1.4827586206896599</v>
      </c>
      <c r="DV47" s="49">
        <v>1.4285714285714299</v>
      </c>
      <c r="DW47" s="49">
        <v>1.5909090909090899</v>
      </c>
      <c r="DX47" s="49">
        <v>1.62121212121212</v>
      </c>
      <c r="DY47" s="49">
        <v>1.7121212121212099</v>
      </c>
      <c r="DZ47" s="49">
        <v>1.4363636363636401</v>
      </c>
      <c r="EA47" s="49">
        <v>34.776979184334003</v>
      </c>
      <c r="EB47" s="49">
        <v>11.3570220716257</v>
      </c>
      <c r="EC47" s="49">
        <v>4.2073385078708601</v>
      </c>
      <c r="ED47" s="49">
        <v>2.3931995629181699</v>
      </c>
      <c r="EE47" s="49">
        <v>173.664906458085</v>
      </c>
      <c r="EF47" s="49">
        <v>44.915381571021499</v>
      </c>
      <c r="EG47" s="49">
        <v>12.149475689576599</v>
      </c>
      <c r="EH47" s="49">
        <v>3.9319788373104698</v>
      </c>
      <c r="EI47" s="49">
        <v>2.5440540645658598</v>
      </c>
      <c r="EJ47" s="49">
        <v>198.43667118776901</v>
      </c>
      <c r="EK47" s="49">
        <v>0.20025334935891401</v>
      </c>
      <c r="EL47" s="49">
        <v>6.5396183392796195E-2</v>
      </c>
      <c r="EM47" s="49">
        <v>2.4226762871555299E-2</v>
      </c>
      <c r="EN47" s="49">
        <v>1.37805594217493E-2</v>
      </c>
      <c r="EO47" s="49">
        <v>0.22634617534236201</v>
      </c>
      <c r="EP47" s="49">
        <v>6.1225959984383203E-2</v>
      </c>
      <c r="EQ47" s="49">
        <v>1.9814779263203099E-2</v>
      </c>
      <c r="ER47" s="49">
        <v>1.2820483478875599E-2</v>
      </c>
    </row>
    <row r="48" spans="1:148" ht="41.5" customHeight="1">
      <c r="A48" s="17">
        <v>69</v>
      </c>
      <c r="B48" s="9">
        <f t="shared" si="3"/>
        <v>47</v>
      </c>
      <c r="C48">
        <v>47</v>
      </c>
      <c r="D48" s="9" t="s">
        <v>211</v>
      </c>
      <c r="E48" s="9">
        <v>66917054</v>
      </c>
      <c r="F48" s="37">
        <v>26</v>
      </c>
      <c r="G48" s="20">
        <v>1</v>
      </c>
      <c r="H48" s="22">
        <v>45356</v>
      </c>
      <c r="I48" s="20">
        <f t="shared" si="4"/>
        <v>91</v>
      </c>
      <c r="J48" s="28" t="s">
        <v>531</v>
      </c>
      <c r="K48" s="9">
        <v>1</v>
      </c>
      <c r="L48" s="9">
        <v>1</v>
      </c>
      <c r="M48" s="22">
        <v>45265</v>
      </c>
      <c r="N48" s="17">
        <v>16988</v>
      </c>
      <c r="O48" s="45">
        <v>0</v>
      </c>
      <c r="P48" s="17">
        <v>1</v>
      </c>
      <c r="Q48" s="17">
        <v>1</v>
      </c>
      <c r="R48" s="18">
        <v>45375</v>
      </c>
      <c r="S48" s="9">
        <v>2</v>
      </c>
      <c r="T48" s="9">
        <v>67</v>
      </c>
      <c r="U48" s="9">
        <v>43</v>
      </c>
      <c r="V48" s="9">
        <v>110</v>
      </c>
      <c r="W48" s="9">
        <v>25</v>
      </c>
      <c r="X48" s="9">
        <v>70</v>
      </c>
      <c r="Y48" s="9">
        <v>17</v>
      </c>
      <c r="Z48" s="9">
        <v>67</v>
      </c>
      <c r="AA48" s="9">
        <v>1</v>
      </c>
      <c r="AB48" s="9">
        <v>1</v>
      </c>
      <c r="AC48" s="9">
        <v>4</v>
      </c>
      <c r="AD48" s="9">
        <v>8</v>
      </c>
      <c r="AE48" s="9">
        <v>1</v>
      </c>
      <c r="AF48" s="9">
        <v>1</v>
      </c>
      <c r="AG48" s="9">
        <v>1</v>
      </c>
      <c r="AH48" s="9">
        <v>1</v>
      </c>
      <c r="AI48" s="9">
        <v>1</v>
      </c>
      <c r="AJ48" s="9">
        <v>1</v>
      </c>
      <c r="AK48" s="9">
        <v>1</v>
      </c>
      <c r="AL48" s="9">
        <v>22</v>
      </c>
      <c r="AM48" s="9">
        <v>2</v>
      </c>
      <c r="AN48" s="9">
        <v>1</v>
      </c>
      <c r="AO48" s="9">
        <v>1</v>
      </c>
      <c r="AP48" s="9" t="s">
        <v>454</v>
      </c>
      <c r="AQ48" s="9" t="s">
        <v>455</v>
      </c>
      <c r="AR48" s="9" t="s">
        <v>456</v>
      </c>
      <c r="AS48" s="9">
        <v>1</v>
      </c>
      <c r="AT48" s="9">
        <v>2</v>
      </c>
      <c r="AU48" s="9">
        <v>4</v>
      </c>
      <c r="AV48" s="9">
        <v>42</v>
      </c>
      <c r="AW48" s="9">
        <v>2</v>
      </c>
      <c r="AX48" s="37">
        <f t="shared" si="5"/>
        <v>42.285714285714285</v>
      </c>
      <c r="AY48" s="9">
        <v>855</v>
      </c>
      <c r="AZ48" s="9">
        <v>1</v>
      </c>
      <c r="BA48" s="9">
        <v>3</v>
      </c>
      <c r="BB48" s="9">
        <v>34</v>
      </c>
      <c r="BC48" s="9">
        <v>3</v>
      </c>
      <c r="BD48" s="9">
        <v>23</v>
      </c>
      <c r="BE48" s="9">
        <v>3</v>
      </c>
      <c r="BF48" s="9">
        <v>2666</v>
      </c>
      <c r="BG48" s="9">
        <v>1</v>
      </c>
      <c r="BH48" s="9">
        <v>48</v>
      </c>
      <c r="BI48" s="9">
        <v>1</v>
      </c>
      <c r="BJ48" s="9">
        <v>32</v>
      </c>
      <c r="BK48" s="9">
        <v>1</v>
      </c>
      <c r="BL48" s="9">
        <v>2</v>
      </c>
      <c r="BM48" s="9">
        <v>3</v>
      </c>
      <c r="BN48" s="9">
        <v>2</v>
      </c>
      <c r="BO48" s="9">
        <v>3</v>
      </c>
      <c r="BP48" s="9">
        <v>1</v>
      </c>
      <c r="BR48" s="9">
        <v>2</v>
      </c>
      <c r="BS48" s="9">
        <v>2</v>
      </c>
      <c r="BT48" s="18">
        <v>45265</v>
      </c>
      <c r="BU48" s="18">
        <v>45378</v>
      </c>
      <c r="BV48" s="9">
        <v>1</v>
      </c>
      <c r="BW48" s="9">
        <v>1</v>
      </c>
      <c r="BX48" s="9">
        <v>0</v>
      </c>
      <c r="BY48" s="9">
        <v>2</v>
      </c>
      <c r="BZ48" s="9">
        <v>194</v>
      </c>
      <c r="CA48" s="9">
        <v>1</v>
      </c>
      <c r="CB48" s="18">
        <v>45265</v>
      </c>
      <c r="CC48" s="18">
        <v>45327</v>
      </c>
      <c r="CD48" s="9">
        <v>63</v>
      </c>
      <c r="CE48" s="49">
        <v>0.19021038267819099</v>
      </c>
      <c r="CF48" s="49">
        <v>0.18585430397305999</v>
      </c>
      <c r="CG48" s="49">
        <v>0.20902332892446701</v>
      </c>
      <c r="CH48" s="49">
        <v>0.20500358072864899</v>
      </c>
      <c r="CI48" s="49">
        <v>0.44567700399779098</v>
      </c>
      <c r="CJ48" s="49">
        <v>0.40650113353592598</v>
      </c>
      <c r="CK48" s="49">
        <v>0.42647838429559998</v>
      </c>
      <c r="CL48" s="49">
        <v>0.42369258836096801</v>
      </c>
      <c r="CM48" s="49">
        <v>0.42197396885559801</v>
      </c>
      <c r="CN48" s="49">
        <v>0.39855164062265203</v>
      </c>
      <c r="CO48" s="49">
        <v>0.436616114290861</v>
      </c>
      <c r="CP48" s="49">
        <v>0.42067449647900801</v>
      </c>
      <c r="CQ48" s="49">
        <v>0.64742771269218102</v>
      </c>
      <c r="CR48" s="49">
        <v>0.50631070258558597</v>
      </c>
      <c r="CS48" s="49">
        <v>0.54974438997404496</v>
      </c>
      <c r="CT48" s="49">
        <v>0.52518061482344902</v>
      </c>
      <c r="CU48" s="49">
        <v>0.75</v>
      </c>
      <c r="CV48" s="49">
        <v>0.76785714285714302</v>
      </c>
      <c r="CW48" s="49">
        <v>0.62435897435897503</v>
      </c>
      <c r="CX48" s="49">
        <v>0.62435897435897503</v>
      </c>
      <c r="CY48" s="49">
        <v>0.65170940170940095</v>
      </c>
      <c r="CZ48" s="49">
        <v>0.64850427350427298</v>
      </c>
      <c r="DA48" s="49">
        <v>0.63333333333333297</v>
      </c>
      <c r="DB48" s="49">
        <v>0.658119658119658</v>
      </c>
      <c r="DC48" s="49">
        <v>0.57692307692307698</v>
      </c>
      <c r="DD48" s="49">
        <v>0.56968585358882695</v>
      </c>
      <c r="DE48" s="49">
        <v>0.62096790487087905</v>
      </c>
      <c r="DF48" s="49">
        <v>0.62096790487087905</v>
      </c>
      <c r="DG48" s="49">
        <v>0.93340624923522197</v>
      </c>
      <c r="DH48" s="49">
        <v>0.77520408469443702</v>
      </c>
      <c r="DI48" s="49">
        <v>0.79888137190164799</v>
      </c>
      <c r="DJ48" s="49">
        <v>0.77893953213591605</v>
      </c>
      <c r="DK48" s="49">
        <v>0.57692307692307698</v>
      </c>
      <c r="DL48" s="49">
        <v>0.5</v>
      </c>
      <c r="DM48" s="49">
        <v>0.55128205128205099</v>
      </c>
      <c r="DN48" s="49">
        <v>0.55128205128205099</v>
      </c>
      <c r="DO48" s="49">
        <v>0.70219780219780203</v>
      </c>
      <c r="DP48" s="49">
        <v>0.61208791208791202</v>
      </c>
      <c r="DQ48" s="49">
        <v>0.72307692307692295</v>
      </c>
      <c r="DR48" s="49">
        <v>0.66483516483516503</v>
      </c>
      <c r="DS48" s="49">
        <v>1.6428571428571399</v>
      </c>
      <c r="DT48" s="49">
        <v>1.53571428571429</v>
      </c>
      <c r="DU48" s="49">
        <v>2.2307692307692299</v>
      </c>
      <c r="DV48" s="49">
        <v>2.2307692307692299</v>
      </c>
      <c r="DW48" s="49">
        <v>1.8974358974359</v>
      </c>
      <c r="DX48" s="49">
        <v>1.9358974358974399</v>
      </c>
      <c r="DY48" s="49">
        <v>2.0641025641025599</v>
      </c>
      <c r="DZ48" s="49">
        <v>1.8589743589743599</v>
      </c>
      <c r="EA48" s="49">
        <v>50.736822103250603</v>
      </c>
      <c r="EB48" s="49">
        <v>13.7917692307369</v>
      </c>
      <c r="EC48" s="49">
        <v>4.8593579045755098</v>
      </c>
      <c r="ED48" s="49">
        <v>2.2206758841340699</v>
      </c>
      <c r="EE48" s="49">
        <v>285.01119236108099</v>
      </c>
      <c r="EF48" s="49">
        <v>71.146224833711301</v>
      </c>
      <c r="EG48" s="49">
        <v>28.408040121181902</v>
      </c>
      <c r="EH48" s="49">
        <v>10.2386647290397</v>
      </c>
      <c r="EI48" s="49">
        <v>4.6696516159176698</v>
      </c>
      <c r="EJ48" s="49">
        <v>292.577593408018</v>
      </c>
      <c r="EK48" s="49">
        <v>0.17801694622214001</v>
      </c>
      <c r="EL48" s="49">
        <v>4.8390272383633602E-2</v>
      </c>
      <c r="EM48" s="49">
        <v>1.7049709045879099E-2</v>
      </c>
      <c r="EN48" s="49">
        <v>7.7915392225042599E-3</v>
      </c>
      <c r="EO48" s="49">
        <v>0.24317044926435399</v>
      </c>
      <c r="EP48" s="49">
        <v>9.7095747457205603E-2</v>
      </c>
      <c r="EQ48" s="49">
        <v>3.4994698704631302E-2</v>
      </c>
      <c r="ER48" s="49">
        <v>1.5960386991787E-2</v>
      </c>
    </row>
    <row r="49" spans="1:148" ht="28" customHeight="1">
      <c r="A49" s="9">
        <v>38</v>
      </c>
      <c r="B49" s="9">
        <f t="shared" si="3"/>
        <v>48</v>
      </c>
      <c r="C49">
        <v>48</v>
      </c>
      <c r="D49" s="9" t="s">
        <v>118</v>
      </c>
      <c r="E49" s="20">
        <v>67138812</v>
      </c>
      <c r="F49" s="37">
        <v>33.714285714285715</v>
      </c>
      <c r="G49" s="20">
        <v>3</v>
      </c>
      <c r="H49" s="23" t="s">
        <v>16</v>
      </c>
      <c r="I49" s="24">
        <f t="shared" si="4"/>
        <v>20</v>
      </c>
      <c r="J49" s="25" t="s">
        <v>41</v>
      </c>
      <c r="K49" s="9">
        <v>1</v>
      </c>
      <c r="L49" s="9">
        <v>1</v>
      </c>
      <c r="M49" s="23" t="s">
        <v>83</v>
      </c>
      <c r="N49" s="17">
        <v>3408</v>
      </c>
      <c r="O49" s="45">
        <v>0</v>
      </c>
      <c r="P49" s="17">
        <v>1</v>
      </c>
      <c r="Q49" s="17">
        <v>1</v>
      </c>
      <c r="R49" s="18">
        <v>45485</v>
      </c>
      <c r="S49" s="9">
        <v>1</v>
      </c>
      <c r="T49" s="9">
        <v>0</v>
      </c>
      <c r="U49" s="9">
        <v>0</v>
      </c>
      <c r="V49" s="9">
        <v>0</v>
      </c>
      <c r="W49" s="9">
        <v>1</v>
      </c>
      <c r="X49" s="9">
        <v>0</v>
      </c>
      <c r="Y49" s="9">
        <v>6</v>
      </c>
      <c r="Z49" s="9">
        <v>0</v>
      </c>
      <c r="AA49" s="9">
        <v>2</v>
      </c>
      <c r="AB49" s="9">
        <v>2</v>
      </c>
      <c r="AC49" s="9">
        <v>10</v>
      </c>
      <c r="AD49" s="9">
        <v>10</v>
      </c>
      <c r="AE49" s="9">
        <v>1</v>
      </c>
      <c r="AF49" s="9">
        <v>2</v>
      </c>
      <c r="AG49" s="9">
        <v>1</v>
      </c>
      <c r="AH49" s="9">
        <v>2</v>
      </c>
      <c r="AI49" s="9">
        <v>2</v>
      </c>
      <c r="AJ49" s="9">
        <v>1</v>
      </c>
      <c r="AK49" s="9">
        <v>1</v>
      </c>
      <c r="AL49" s="9">
        <v>46</v>
      </c>
      <c r="AM49" s="9">
        <v>2</v>
      </c>
      <c r="AN49" s="9">
        <v>1</v>
      </c>
      <c r="AO49" s="9" t="s">
        <v>342</v>
      </c>
      <c r="AP49" s="17" t="s">
        <v>388</v>
      </c>
      <c r="AQ49" s="9" t="s">
        <v>132</v>
      </c>
      <c r="AR49" s="9" t="s">
        <v>131</v>
      </c>
      <c r="AS49" s="9">
        <v>1</v>
      </c>
      <c r="AT49" s="9">
        <v>2</v>
      </c>
      <c r="AU49" s="9">
        <v>1</v>
      </c>
      <c r="AV49" s="9">
        <v>36</v>
      </c>
      <c r="AW49" s="9">
        <v>1</v>
      </c>
      <c r="AX49" s="37">
        <f t="shared" si="5"/>
        <v>36.142857142857146</v>
      </c>
      <c r="AY49" s="9">
        <v>1845</v>
      </c>
      <c r="AZ49" s="9">
        <v>3</v>
      </c>
      <c r="BA49" s="9">
        <v>3</v>
      </c>
      <c r="BB49" s="9">
        <v>43</v>
      </c>
      <c r="BC49" s="9">
        <v>3</v>
      </c>
      <c r="BD49" s="9">
        <v>31</v>
      </c>
      <c r="BE49" s="9">
        <v>3</v>
      </c>
      <c r="BF49" s="9">
        <v>2060</v>
      </c>
      <c r="BG49" s="9">
        <v>3</v>
      </c>
      <c r="BH49" s="9">
        <v>45</v>
      </c>
      <c r="BI49" s="9">
        <v>3</v>
      </c>
      <c r="BJ49" s="9">
        <v>32</v>
      </c>
      <c r="BK49" s="9">
        <v>3</v>
      </c>
      <c r="BL49" s="9">
        <v>1</v>
      </c>
      <c r="BN49" s="9">
        <v>1</v>
      </c>
      <c r="BP49" s="9">
        <v>1</v>
      </c>
      <c r="BR49" s="9">
        <v>1</v>
      </c>
      <c r="BS49" s="9">
        <v>1</v>
      </c>
      <c r="BT49" s="42">
        <v>45485</v>
      </c>
      <c r="BU49" s="35">
        <v>45503</v>
      </c>
      <c r="BV49" s="9">
        <v>1</v>
      </c>
      <c r="BW49" s="9">
        <v>1</v>
      </c>
      <c r="BX49" s="9">
        <v>0</v>
      </c>
      <c r="BY49" s="9">
        <v>1</v>
      </c>
      <c r="BZ49" s="9">
        <v>0</v>
      </c>
      <c r="CA49" s="9">
        <v>1</v>
      </c>
      <c r="CB49" s="18">
        <v>45486</v>
      </c>
      <c r="CC49" s="18">
        <v>45489</v>
      </c>
      <c r="CD49" s="9">
        <v>4</v>
      </c>
      <c r="CE49" s="49">
        <v>0.21436660852439801</v>
      </c>
      <c r="CF49" s="49">
        <v>0.165862990363805</v>
      </c>
      <c r="CG49" s="49">
        <v>0.16252761840589</v>
      </c>
      <c r="CH49" s="49">
        <v>0.15883640707806401</v>
      </c>
      <c r="CI49" s="49">
        <v>0.45184475268007901</v>
      </c>
      <c r="CJ49" s="49">
        <v>0.30144902558334002</v>
      </c>
      <c r="CK49" s="49">
        <v>0.36637721785349497</v>
      </c>
      <c r="CL49" s="49">
        <v>0.35756486123720599</v>
      </c>
      <c r="CM49" s="49">
        <v>0.356645420578172</v>
      </c>
      <c r="CN49" s="49">
        <v>0.42661680311030997</v>
      </c>
      <c r="CO49" s="49">
        <v>0.49485801636020299</v>
      </c>
      <c r="CP49" s="49">
        <v>0.39996063159142597</v>
      </c>
      <c r="CQ49" s="49">
        <v>0.512347631496615</v>
      </c>
      <c r="CR49" s="49">
        <v>0.62754461320507104</v>
      </c>
      <c r="CS49" s="49">
        <v>0.58812884204122595</v>
      </c>
      <c r="CT49" s="49">
        <v>0.55536791517065898</v>
      </c>
      <c r="CU49" s="49">
        <v>0.69852941176470595</v>
      </c>
      <c r="CV49" s="49">
        <v>0.86363636363636398</v>
      </c>
      <c r="CW49" s="49">
        <v>0.85606060606060597</v>
      </c>
      <c r="CX49" s="49">
        <v>0.86363636363636398</v>
      </c>
      <c r="CY49" s="49">
        <v>0.66346153846153799</v>
      </c>
      <c r="CZ49" s="49">
        <v>0.81597222222222199</v>
      </c>
      <c r="DA49" s="49">
        <v>0.63974358974359002</v>
      </c>
      <c r="DB49" s="49">
        <v>0.63653846153846105</v>
      </c>
      <c r="DC49" s="49">
        <v>0.50232181510195295</v>
      </c>
      <c r="DD49" s="49">
        <v>0.62332666429895101</v>
      </c>
      <c r="DE49" s="49">
        <v>0.73749238861293898</v>
      </c>
      <c r="DF49" s="49">
        <v>0.62332666429895101</v>
      </c>
      <c r="DG49" s="49">
        <v>0.73144925377483905</v>
      </c>
      <c r="DH49" s="49">
        <v>0.96639816710523296</v>
      </c>
      <c r="DI49" s="49">
        <v>0.937153715075147</v>
      </c>
      <c r="DJ49" s="49">
        <v>0.89487641972180298</v>
      </c>
      <c r="DK49" s="49">
        <v>0.47179487179487201</v>
      </c>
      <c r="DL49" s="49">
        <v>0.55897435897435899</v>
      </c>
      <c r="DM49" s="49">
        <v>0.61538461538461497</v>
      </c>
      <c r="DN49" s="49">
        <v>0.55897435897435899</v>
      </c>
      <c r="DO49" s="49">
        <v>0.57509157509157505</v>
      </c>
      <c r="DP49" s="49">
        <v>0.84157509157509203</v>
      </c>
      <c r="DQ49" s="49">
        <v>0.72600732600732598</v>
      </c>
      <c r="DR49" s="49">
        <v>0.79706959706959701</v>
      </c>
      <c r="DS49" s="49">
        <v>1.76470588235294</v>
      </c>
      <c r="DT49" s="49">
        <v>1.27272727272727</v>
      </c>
      <c r="DU49" s="49">
        <v>1.3181818181818199</v>
      </c>
      <c r="DV49" s="49">
        <v>1.27272727272727</v>
      </c>
      <c r="DW49" s="49">
        <v>1.8333333333333299</v>
      </c>
      <c r="DX49" s="49">
        <v>1.3958333333333299</v>
      </c>
      <c r="DY49" s="49">
        <v>2.02564102564103</v>
      </c>
      <c r="DZ49" s="49">
        <v>2.0512820512820502</v>
      </c>
      <c r="EA49" s="49">
        <v>35.489539981347399</v>
      </c>
      <c r="EB49" s="49">
        <v>18.0438919119341</v>
      </c>
      <c r="EC49" s="49">
        <v>6.3870872396415699</v>
      </c>
      <c r="ED49" s="49">
        <v>2.3554010241580201</v>
      </c>
      <c r="EE49" s="49">
        <v>156.92152633042201</v>
      </c>
      <c r="EF49" s="49">
        <v>58.429777506618898</v>
      </c>
      <c r="EG49" s="49">
        <v>24.1251487248581</v>
      </c>
      <c r="EH49" s="49">
        <v>7.9179307256194802</v>
      </c>
      <c r="EI49" s="49">
        <v>3.29759455260734</v>
      </c>
      <c r="EJ49" s="49">
        <v>237.50985374618</v>
      </c>
      <c r="EK49" s="49">
        <v>0.22616106796347901</v>
      </c>
      <c r="EL49" s="49">
        <v>0.114986721923288</v>
      </c>
      <c r="EM49" s="49">
        <v>4.0702428717093897E-2</v>
      </c>
      <c r="EN49" s="49">
        <v>1.50100568050706E-2</v>
      </c>
      <c r="EO49" s="49">
        <v>0.246009908999654</v>
      </c>
      <c r="EP49" s="49">
        <v>0.101575359271788</v>
      </c>
      <c r="EQ49" s="49">
        <v>3.3337272541463202E-2</v>
      </c>
      <c r="ER49" s="49">
        <v>1.3884032601575299E-2</v>
      </c>
    </row>
    <row r="50" spans="1:148" ht="28" customHeight="1">
      <c r="A50" s="17">
        <v>70</v>
      </c>
      <c r="B50" s="9">
        <f t="shared" si="3"/>
        <v>49</v>
      </c>
      <c r="C50">
        <v>49</v>
      </c>
      <c r="D50" s="9" t="s">
        <v>212</v>
      </c>
      <c r="E50" s="9">
        <v>66927331</v>
      </c>
      <c r="F50" s="37">
        <v>27.428571428571427</v>
      </c>
      <c r="G50" s="20">
        <v>1</v>
      </c>
      <c r="H50" s="22">
        <v>45368</v>
      </c>
      <c r="I50" s="20">
        <f t="shared" si="4"/>
        <v>94</v>
      </c>
      <c r="J50" s="28" t="s">
        <v>533</v>
      </c>
      <c r="K50" s="9">
        <v>1</v>
      </c>
      <c r="L50" s="9">
        <v>1</v>
      </c>
      <c r="M50" s="22">
        <v>45274</v>
      </c>
      <c r="N50" s="17">
        <v>21444</v>
      </c>
      <c r="O50" s="45">
        <v>0</v>
      </c>
      <c r="P50" s="17">
        <v>1</v>
      </c>
      <c r="Q50" s="17">
        <v>1</v>
      </c>
      <c r="R50" s="18">
        <v>45371</v>
      </c>
      <c r="S50" s="9">
        <v>2</v>
      </c>
      <c r="T50" s="9">
        <v>54</v>
      </c>
      <c r="U50" s="9">
        <v>24</v>
      </c>
      <c r="V50" s="9">
        <v>78</v>
      </c>
      <c r="W50" s="9">
        <v>11</v>
      </c>
      <c r="X50" s="9">
        <v>27</v>
      </c>
      <c r="Y50" s="9">
        <v>13</v>
      </c>
      <c r="Z50" s="9">
        <v>24</v>
      </c>
      <c r="AA50" s="9">
        <v>1</v>
      </c>
      <c r="AB50" s="9">
        <v>1</v>
      </c>
      <c r="AC50" s="9">
        <v>5</v>
      </c>
      <c r="AD50" s="9">
        <v>10</v>
      </c>
      <c r="AE50" s="9">
        <v>1</v>
      </c>
      <c r="AF50" s="9">
        <v>1</v>
      </c>
      <c r="AG50" s="9">
        <v>1</v>
      </c>
      <c r="AH50" s="9">
        <v>2</v>
      </c>
      <c r="AI50" s="9">
        <v>2</v>
      </c>
      <c r="AJ50" s="9">
        <v>2</v>
      </c>
      <c r="AK50" s="9">
        <v>1</v>
      </c>
      <c r="AL50" s="9">
        <v>36</v>
      </c>
      <c r="AM50" s="9">
        <v>1</v>
      </c>
      <c r="AN50" s="9">
        <v>1</v>
      </c>
      <c r="AO50" s="9" t="s">
        <v>457</v>
      </c>
      <c r="AP50" s="9" t="s">
        <v>458</v>
      </c>
      <c r="AQ50" s="9" t="s">
        <v>459</v>
      </c>
      <c r="AR50" s="9" t="s">
        <v>460</v>
      </c>
      <c r="AS50" s="9">
        <v>1</v>
      </c>
      <c r="AT50" s="9">
        <v>2</v>
      </c>
      <c r="AU50" s="9">
        <v>1</v>
      </c>
      <c r="AV50" s="9">
        <v>41</v>
      </c>
      <c r="AW50" s="9">
        <v>4</v>
      </c>
      <c r="AX50" s="37">
        <f t="shared" si="5"/>
        <v>41.571428571428569</v>
      </c>
      <c r="AY50" s="9">
        <v>940</v>
      </c>
      <c r="AZ50" s="9">
        <v>1</v>
      </c>
      <c r="BA50" s="9">
        <v>2</v>
      </c>
      <c r="BB50" s="9">
        <v>31</v>
      </c>
      <c r="BC50" s="9">
        <v>1</v>
      </c>
      <c r="BD50" s="9">
        <v>24</v>
      </c>
      <c r="BE50" s="9">
        <v>2</v>
      </c>
      <c r="BF50" s="9">
        <v>3100</v>
      </c>
      <c r="BG50" s="9">
        <v>2</v>
      </c>
      <c r="BH50" s="9">
        <v>51</v>
      </c>
      <c r="BI50" s="9">
        <v>3</v>
      </c>
      <c r="BJ50" s="9">
        <v>35</v>
      </c>
      <c r="BK50" s="9">
        <v>4</v>
      </c>
      <c r="BL50" s="9">
        <v>1</v>
      </c>
      <c r="BN50" s="9">
        <v>2</v>
      </c>
      <c r="BO50" s="9">
        <v>3</v>
      </c>
      <c r="BP50" s="9">
        <v>1</v>
      </c>
      <c r="BR50" s="9">
        <v>1</v>
      </c>
      <c r="BS50" s="9">
        <v>2</v>
      </c>
      <c r="BT50" s="18">
        <v>45274</v>
      </c>
      <c r="BU50" s="18">
        <v>45373</v>
      </c>
      <c r="BV50" s="9">
        <v>2</v>
      </c>
      <c r="BW50" s="9">
        <v>1</v>
      </c>
      <c r="BX50" s="9">
        <v>0</v>
      </c>
      <c r="BY50" s="9">
        <v>2</v>
      </c>
      <c r="BZ50" s="9">
        <v>107</v>
      </c>
      <c r="CA50" s="9">
        <v>2</v>
      </c>
      <c r="CB50" s="18">
        <v>45310</v>
      </c>
      <c r="CC50" s="18">
        <v>45328</v>
      </c>
      <c r="CD50" s="9">
        <v>19</v>
      </c>
      <c r="CE50" s="49">
        <v>0.32794987414780302</v>
      </c>
      <c r="CF50" s="49">
        <v>0.321997281488829</v>
      </c>
      <c r="CG50" s="49">
        <v>0.356410588877904</v>
      </c>
      <c r="CH50" s="49">
        <v>0.34028699058235601</v>
      </c>
      <c r="CI50" s="49">
        <v>0.49057689467905602</v>
      </c>
      <c r="CJ50" s="49">
        <v>0.47662312689548297</v>
      </c>
      <c r="CK50" s="49">
        <v>0.44076795019311699</v>
      </c>
      <c r="CL50" s="49">
        <v>0.42046610364593801</v>
      </c>
      <c r="CM50" s="49">
        <v>0.28287070053549102</v>
      </c>
      <c r="CN50" s="49">
        <v>0.28044835746827901</v>
      </c>
      <c r="CO50" s="49">
        <v>0.23004809641713</v>
      </c>
      <c r="CP50" s="49">
        <v>0.222221956462405</v>
      </c>
      <c r="CQ50" s="49">
        <v>0.58847460838481502</v>
      </c>
      <c r="CR50" s="49">
        <v>0.57399848390879604</v>
      </c>
      <c r="CS50" s="49">
        <v>0.57128555164373696</v>
      </c>
      <c r="CT50" s="49">
        <v>0.54509798636426599</v>
      </c>
      <c r="CU50" s="49">
        <v>0.49181096681096698</v>
      </c>
      <c r="CV50" s="49">
        <v>0.49181096681096698</v>
      </c>
      <c r="CW50" s="49">
        <v>0.46678876678876702</v>
      </c>
      <c r="CX50" s="49">
        <v>0.46678876678876702</v>
      </c>
      <c r="CY50" s="49">
        <v>0.66666666666666596</v>
      </c>
      <c r="CZ50" s="49">
        <v>0.66880341880341898</v>
      </c>
      <c r="DA50" s="49">
        <v>0.66239316239316204</v>
      </c>
      <c r="DB50" s="49">
        <v>0.66239316239316204</v>
      </c>
      <c r="DC50" s="49">
        <v>0.361215411588928</v>
      </c>
      <c r="DD50" s="49">
        <v>0.361215411588928</v>
      </c>
      <c r="DE50" s="49">
        <v>0.29487179487179499</v>
      </c>
      <c r="DF50" s="49">
        <v>0.29487179487179499</v>
      </c>
      <c r="DG50" s="49">
        <v>0.80882093112407105</v>
      </c>
      <c r="DH50" s="49">
        <v>0.79498316664186297</v>
      </c>
      <c r="DI50" s="49">
        <v>0.83815928903456405</v>
      </c>
      <c r="DJ50" s="49">
        <v>0.83815928903456405</v>
      </c>
      <c r="DK50" s="49">
        <v>0.32051282051282098</v>
      </c>
      <c r="DL50" s="49">
        <v>0.32051282051282098</v>
      </c>
      <c r="DM50" s="49">
        <v>0.29487179487179499</v>
      </c>
      <c r="DN50" s="49">
        <v>0.29487179487179499</v>
      </c>
      <c r="DO50" s="49">
        <v>0.57509157509157505</v>
      </c>
      <c r="DP50" s="49">
        <v>0.61575091575091601</v>
      </c>
      <c r="DQ50" s="49">
        <v>0.67234432234432195</v>
      </c>
      <c r="DR50" s="49">
        <v>0.67234432234432195</v>
      </c>
      <c r="DS50" s="49">
        <v>2.8787878787878798</v>
      </c>
      <c r="DT50" s="49">
        <v>2.8787878787878798</v>
      </c>
      <c r="DU50" s="49">
        <v>2.9615384615384599</v>
      </c>
      <c r="DV50" s="49">
        <v>2.9615384615384599</v>
      </c>
      <c r="DW50" s="49">
        <v>1.82051282051282</v>
      </c>
      <c r="DX50" s="49">
        <v>1.7820512820512799</v>
      </c>
      <c r="DY50" s="49">
        <v>1.8333333333333299</v>
      </c>
      <c r="DZ50" s="49">
        <v>1.8333333333333299</v>
      </c>
      <c r="EA50" s="49">
        <v>80.894247846755903</v>
      </c>
      <c r="EB50" s="49">
        <v>17.8794737228468</v>
      </c>
      <c r="EC50" s="49">
        <v>4.3199548804709398</v>
      </c>
      <c r="ED50" s="49">
        <v>1.5222807864338701</v>
      </c>
      <c r="EE50" s="49">
        <v>325.11680244147198</v>
      </c>
      <c r="EF50" s="49">
        <v>25.236493597106801</v>
      </c>
      <c r="EG50" s="49">
        <v>10.8738159760318</v>
      </c>
      <c r="EH50" s="49">
        <v>3.9628119001228801</v>
      </c>
      <c r="EI50" s="49">
        <v>1.87004522810744</v>
      </c>
      <c r="EJ50" s="49">
        <v>139.89946979742999</v>
      </c>
      <c r="EK50" s="49">
        <v>0.24881595549439101</v>
      </c>
      <c r="EL50" s="49">
        <v>5.4994000890081503E-2</v>
      </c>
      <c r="EM50" s="49">
        <v>1.3287393478375001E-2</v>
      </c>
      <c r="EN50" s="49">
        <v>4.6822581146291698E-3</v>
      </c>
      <c r="EO50" s="49">
        <v>0.180390201861725</v>
      </c>
      <c r="EP50" s="49">
        <v>7.7725926994410804E-2</v>
      </c>
      <c r="EQ50" s="49">
        <v>2.8326139519048301E-2</v>
      </c>
      <c r="ER50" s="49">
        <v>1.3367064441453601E-2</v>
      </c>
    </row>
    <row r="51" spans="1:148" ht="28" customHeight="1">
      <c r="A51" s="9">
        <v>36</v>
      </c>
      <c r="B51" s="9">
        <f t="shared" si="3"/>
        <v>50</v>
      </c>
      <c r="C51">
        <v>50</v>
      </c>
      <c r="D51" s="9" t="s">
        <v>116</v>
      </c>
      <c r="E51" s="9">
        <v>67123593</v>
      </c>
      <c r="F51" s="37">
        <v>30.142857142857142</v>
      </c>
      <c r="G51" s="9">
        <v>2</v>
      </c>
      <c r="H51" s="9" t="s">
        <v>17</v>
      </c>
      <c r="I51" s="9">
        <f t="shared" si="4"/>
        <v>51</v>
      </c>
      <c r="J51" s="9" t="s">
        <v>534</v>
      </c>
      <c r="K51" s="9">
        <v>1</v>
      </c>
      <c r="L51" s="9">
        <v>1</v>
      </c>
      <c r="M51" s="9" t="s">
        <v>30</v>
      </c>
      <c r="N51" s="17">
        <v>15120</v>
      </c>
      <c r="O51" s="45">
        <v>0</v>
      </c>
      <c r="P51" s="17">
        <v>1</v>
      </c>
      <c r="Q51" s="17">
        <v>1</v>
      </c>
      <c r="R51" s="18">
        <v>45531</v>
      </c>
      <c r="S51" s="9">
        <v>2</v>
      </c>
      <c r="T51" s="9">
        <v>5</v>
      </c>
      <c r="U51" s="9">
        <v>45</v>
      </c>
      <c r="V51" s="9">
        <v>50</v>
      </c>
      <c r="W51" s="9">
        <v>10</v>
      </c>
      <c r="X51" s="9">
        <v>11</v>
      </c>
      <c r="Y51" s="9">
        <v>6</v>
      </c>
      <c r="Z51" s="9">
        <v>13</v>
      </c>
      <c r="AA51" s="9">
        <v>1</v>
      </c>
      <c r="AB51" s="9">
        <v>1</v>
      </c>
      <c r="AC51" s="9">
        <v>10</v>
      </c>
      <c r="AD51" s="9">
        <v>10</v>
      </c>
      <c r="AE51" s="9">
        <v>1</v>
      </c>
      <c r="AF51" s="9">
        <v>2</v>
      </c>
      <c r="AG51" s="9">
        <v>1</v>
      </c>
      <c r="AH51" s="9">
        <v>2</v>
      </c>
      <c r="AI51" s="9">
        <v>1</v>
      </c>
      <c r="AJ51" s="9">
        <v>1</v>
      </c>
      <c r="AK51" s="9">
        <v>2</v>
      </c>
      <c r="AL51" s="9">
        <v>40</v>
      </c>
      <c r="AM51" s="9">
        <v>2</v>
      </c>
      <c r="AN51" s="9">
        <v>1</v>
      </c>
      <c r="AO51" s="17" t="s">
        <v>340</v>
      </c>
      <c r="AP51" s="31" t="s">
        <v>386</v>
      </c>
      <c r="AQ51" s="31" t="s">
        <v>568</v>
      </c>
      <c r="AR51" s="9" t="s">
        <v>128</v>
      </c>
      <c r="AS51" s="9">
        <v>1</v>
      </c>
      <c r="AT51" s="9">
        <v>2</v>
      </c>
      <c r="AU51" s="64">
        <v>2</v>
      </c>
      <c r="AV51" s="9">
        <v>39</v>
      </c>
      <c r="AW51" s="9">
        <v>4</v>
      </c>
      <c r="AX51" s="37">
        <f t="shared" si="5"/>
        <v>39.571428571428569</v>
      </c>
      <c r="AY51" s="9">
        <v>1270</v>
      </c>
      <c r="AZ51" s="9">
        <v>2</v>
      </c>
      <c r="BA51" s="9">
        <v>3</v>
      </c>
      <c r="BB51" s="9">
        <v>36</v>
      </c>
      <c r="BC51" s="9">
        <v>3</v>
      </c>
      <c r="BD51" s="9">
        <v>29</v>
      </c>
      <c r="BE51" s="9">
        <v>4</v>
      </c>
      <c r="BF51" s="9">
        <v>2430</v>
      </c>
      <c r="BG51" s="9">
        <v>1</v>
      </c>
      <c r="BH51" s="9">
        <v>47</v>
      </c>
      <c r="BI51" s="9">
        <v>2</v>
      </c>
      <c r="BJ51" s="9">
        <v>34</v>
      </c>
      <c r="BK51" s="9">
        <v>3</v>
      </c>
      <c r="BL51" s="9">
        <v>1</v>
      </c>
      <c r="BN51" s="9">
        <v>2</v>
      </c>
      <c r="BO51" s="9">
        <v>3</v>
      </c>
      <c r="BP51" s="9">
        <v>2</v>
      </c>
      <c r="BQ51" s="9">
        <v>1</v>
      </c>
      <c r="BR51" s="9">
        <v>1</v>
      </c>
      <c r="BS51" s="9">
        <v>1</v>
      </c>
      <c r="BT51" s="42">
        <v>45472</v>
      </c>
      <c r="BU51" s="35">
        <v>45538</v>
      </c>
      <c r="BV51" s="9">
        <v>1</v>
      </c>
      <c r="BW51" s="9">
        <v>1</v>
      </c>
      <c r="BX51" s="9">
        <v>0</v>
      </c>
      <c r="BY51" s="9">
        <v>2</v>
      </c>
      <c r="BZ51" s="9">
        <v>0</v>
      </c>
      <c r="CA51" s="9">
        <v>1</v>
      </c>
      <c r="CB51" s="18">
        <v>45472</v>
      </c>
      <c r="CC51" s="18">
        <v>45508</v>
      </c>
      <c r="CD51" s="9">
        <v>37</v>
      </c>
      <c r="CE51" s="49">
        <v>0.29552358143045898</v>
      </c>
      <c r="CF51" s="49">
        <v>0.33151883637385698</v>
      </c>
      <c r="CG51" s="49">
        <v>0.21552619602768799</v>
      </c>
      <c r="CH51" s="49">
        <v>0.19384832697887799</v>
      </c>
      <c r="CI51" s="49">
        <v>0.46339332144433398</v>
      </c>
      <c r="CJ51" s="49">
        <v>0.412664612063675</v>
      </c>
      <c r="CK51" s="49">
        <v>0.40694965500699298</v>
      </c>
      <c r="CL51" s="49">
        <v>0.38137521159690402</v>
      </c>
      <c r="CM51" s="49">
        <v>0.32125981696571099</v>
      </c>
      <c r="CN51" s="49">
        <v>0.144349680608231</v>
      </c>
      <c r="CO51" s="49">
        <v>0.216952905102691</v>
      </c>
      <c r="CP51" s="49">
        <v>0.38972991417505698</v>
      </c>
      <c r="CQ51" s="49">
        <v>0.439293161149448</v>
      </c>
      <c r="CR51" s="49">
        <v>0.46083960669865698</v>
      </c>
      <c r="CS51" s="49">
        <v>0.46365858822429901</v>
      </c>
      <c r="CT51" s="49">
        <v>0.42990424931214899</v>
      </c>
      <c r="CU51" s="49">
        <v>0.56101190476190499</v>
      </c>
      <c r="CV51" s="49">
        <v>0.48440170940171001</v>
      </c>
      <c r="CW51" s="49">
        <v>0.68518518518518501</v>
      </c>
      <c r="CX51" s="49">
        <v>0.72043010752688197</v>
      </c>
      <c r="CY51" s="49">
        <v>0.64401709401709395</v>
      </c>
      <c r="CZ51" s="49">
        <v>0.65705128205128205</v>
      </c>
      <c r="DA51" s="49">
        <v>0.65705128205128205</v>
      </c>
      <c r="DB51" s="49">
        <v>0.65747863247863203</v>
      </c>
      <c r="DC51" s="49">
        <v>0.40720773276800798</v>
      </c>
      <c r="DD51" s="49">
        <v>0.19230769230769201</v>
      </c>
      <c r="DE51" s="49">
        <v>0.30769230769230799</v>
      </c>
      <c r="DF51" s="49">
        <v>0.58276364654173396</v>
      </c>
      <c r="DG51" s="49">
        <v>0.60277117329409702</v>
      </c>
      <c r="DH51" s="49">
        <v>0.72253163440196999</v>
      </c>
      <c r="DI51" s="49">
        <v>0.74505405578514405</v>
      </c>
      <c r="DJ51" s="49">
        <v>0.73100241222623297</v>
      </c>
      <c r="DK51" s="49">
        <v>0.34615384615384598</v>
      </c>
      <c r="DL51" s="49">
        <v>0.19230769230769201</v>
      </c>
      <c r="DM51" s="49">
        <v>0.30769230769230799</v>
      </c>
      <c r="DN51" s="49">
        <v>0.512820512820513</v>
      </c>
      <c r="DO51" s="49">
        <v>0.54578754578754596</v>
      </c>
      <c r="DP51" s="49">
        <v>0.59560439560439604</v>
      </c>
      <c r="DQ51" s="49">
        <v>0.60805860805860801</v>
      </c>
      <c r="DR51" s="49">
        <v>0.59090354090354102</v>
      </c>
      <c r="DS51" s="49">
        <v>2.28571428571429</v>
      </c>
      <c r="DT51" s="49">
        <v>2.7051282051282102</v>
      </c>
      <c r="DU51" s="49">
        <v>1.80555555555556</v>
      </c>
      <c r="DV51" s="49">
        <v>1.74193548387097</v>
      </c>
      <c r="DW51" s="49">
        <v>2</v>
      </c>
      <c r="DX51" s="49">
        <v>1.87179487179487</v>
      </c>
      <c r="DY51" s="49">
        <v>1.87179487179487</v>
      </c>
      <c r="DZ51" s="49">
        <v>1.8846153846153799</v>
      </c>
      <c r="EA51" s="49">
        <v>60.537121623516498</v>
      </c>
      <c r="EB51" s="49">
        <v>10.3327015377705</v>
      </c>
      <c r="EC51" s="49">
        <v>4.07643749732995</v>
      </c>
      <c r="ED51" s="49">
        <v>1.9475187726949501</v>
      </c>
      <c r="EE51" s="49">
        <v>355.98058450978499</v>
      </c>
      <c r="EF51" s="49">
        <v>72.428996286471502</v>
      </c>
      <c r="EG51" s="49">
        <v>10.525220281729499</v>
      </c>
      <c r="EH51" s="49">
        <v>3.83169048793971</v>
      </c>
      <c r="EI51" s="49">
        <v>1.8296384674852799</v>
      </c>
      <c r="EJ51" s="49">
        <v>290.83646617316401</v>
      </c>
      <c r="EK51" s="49">
        <v>0.17005736901882201</v>
      </c>
      <c r="EL51" s="49">
        <v>2.9026025540127402E-2</v>
      </c>
      <c r="EM51" s="49">
        <v>1.14512916566603E-2</v>
      </c>
      <c r="EN51" s="49">
        <v>5.47085671926981E-3</v>
      </c>
      <c r="EO51" s="49">
        <v>0.24903684616820801</v>
      </c>
      <c r="EP51" s="49">
        <v>3.6189479332563501E-2</v>
      </c>
      <c r="EQ51" s="49">
        <v>1.31747250898666E-2</v>
      </c>
      <c r="ER51" s="49">
        <v>6.2909527527951299E-3</v>
      </c>
    </row>
    <row r="52" spans="1:148" ht="28" customHeight="1">
      <c r="A52" s="9">
        <v>7</v>
      </c>
      <c r="B52" s="9">
        <f t="shared" si="3"/>
        <v>51</v>
      </c>
      <c r="C52">
        <v>51</v>
      </c>
      <c r="D52" s="9" t="s">
        <v>184</v>
      </c>
      <c r="E52" s="9">
        <v>67208336</v>
      </c>
      <c r="F52" s="37">
        <v>33.857142857142854</v>
      </c>
      <c r="G52" s="20">
        <v>3</v>
      </c>
      <c r="H52" s="20" t="s">
        <v>52</v>
      </c>
      <c r="I52" s="20">
        <f t="shared" si="4"/>
        <v>29</v>
      </c>
      <c r="J52" s="20" t="s">
        <v>535</v>
      </c>
      <c r="K52" s="9">
        <v>1</v>
      </c>
      <c r="L52" s="9">
        <v>1</v>
      </c>
      <c r="M52" s="20" t="s">
        <v>51</v>
      </c>
      <c r="N52" s="17">
        <v>10472</v>
      </c>
      <c r="O52" s="45">
        <v>0</v>
      </c>
      <c r="P52" s="17">
        <v>1</v>
      </c>
      <c r="Q52" s="17">
        <v>1</v>
      </c>
      <c r="R52" s="18">
        <v>45574</v>
      </c>
      <c r="S52" s="9">
        <v>1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4</v>
      </c>
      <c r="Z52" s="9">
        <v>22</v>
      </c>
      <c r="AA52" s="9">
        <v>1</v>
      </c>
      <c r="AB52" s="9">
        <v>2</v>
      </c>
      <c r="AC52" s="9">
        <v>8</v>
      </c>
      <c r="AD52" s="9">
        <v>9</v>
      </c>
      <c r="AE52" s="9">
        <v>1</v>
      </c>
      <c r="AF52" s="9">
        <v>2</v>
      </c>
      <c r="AG52" s="9">
        <v>1</v>
      </c>
      <c r="AH52" s="9">
        <v>2</v>
      </c>
      <c r="AI52" s="9">
        <v>2</v>
      </c>
      <c r="AJ52" s="9">
        <v>1</v>
      </c>
      <c r="AK52" s="9">
        <v>1</v>
      </c>
      <c r="AL52" s="9">
        <v>32</v>
      </c>
      <c r="AM52" s="9">
        <v>2</v>
      </c>
      <c r="AN52" s="9">
        <v>1</v>
      </c>
      <c r="AO52" s="17" t="s">
        <v>318</v>
      </c>
      <c r="AQ52" s="9" t="s">
        <v>180</v>
      </c>
      <c r="AR52" s="9" t="s">
        <v>179</v>
      </c>
      <c r="AS52" s="9">
        <v>1</v>
      </c>
      <c r="AT52" s="9">
        <v>2</v>
      </c>
      <c r="AU52" s="9">
        <v>6</v>
      </c>
      <c r="AV52" s="9">
        <v>40</v>
      </c>
      <c r="AW52" s="9">
        <v>5</v>
      </c>
      <c r="AX52" s="37">
        <f t="shared" si="5"/>
        <v>40.714285714285715</v>
      </c>
      <c r="AY52" s="9">
        <v>1520</v>
      </c>
      <c r="AZ52" s="9">
        <v>3</v>
      </c>
      <c r="BA52" s="9">
        <v>2</v>
      </c>
      <c r="BB52" s="9">
        <v>44</v>
      </c>
      <c r="BC52" s="9">
        <v>2</v>
      </c>
      <c r="BD52" s="9">
        <v>33</v>
      </c>
      <c r="BE52" s="9">
        <v>1</v>
      </c>
      <c r="BF52" s="9">
        <v>2210</v>
      </c>
      <c r="BG52" s="9">
        <v>1</v>
      </c>
      <c r="BH52" s="9">
        <v>47</v>
      </c>
      <c r="BI52" s="9">
        <v>1</v>
      </c>
      <c r="BJ52" s="9">
        <v>34</v>
      </c>
      <c r="BK52" s="9">
        <v>3</v>
      </c>
      <c r="BL52" s="9">
        <v>1</v>
      </c>
      <c r="BN52" s="9">
        <v>1</v>
      </c>
      <c r="BP52" s="9">
        <v>1</v>
      </c>
      <c r="BR52" s="9">
        <v>2</v>
      </c>
      <c r="BS52" s="9">
        <v>1</v>
      </c>
      <c r="BT52" s="18">
        <v>45555</v>
      </c>
      <c r="BU52" s="18">
        <v>45587</v>
      </c>
      <c r="BV52" s="9">
        <v>1</v>
      </c>
      <c r="BW52" s="9">
        <v>1</v>
      </c>
      <c r="BX52" s="9">
        <v>0</v>
      </c>
      <c r="BY52" s="9">
        <v>2</v>
      </c>
      <c r="BZ52" s="9">
        <v>41</v>
      </c>
      <c r="CA52" s="9">
        <v>2</v>
      </c>
      <c r="CB52" s="18"/>
      <c r="CC52" s="18"/>
      <c r="CD52" s="9">
        <v>0</v>
      </c>
      <c r="CE52" s="49">
        <v>0.21114707566415999</v>
      </c>
      <c r="CF52" s="49">
        <v>0.177796728477849</v>
      </c>
      <c r="CG52" s="49">
        <v>0.17346355948178699</v>
      </c>
      <c r="CH52" s="49">
        <v>0.17123228149759401</v>
      </c>
      <c r="CI52" s="49">
        <v>0.42184953822008697</v>
      </c>
      <c r="CJ52" s="49">
        <v>0.40265448817911798</v>
      </c>
      <c r="CK52" s="49">
        <v>0.35470780867238899</v>
      </c>
      <c r="CL52" s="49">
        <v>0.34021112264994702</v>
      </c>
      <c r="CM52" s="49">
        <v>0.28911921627120901</v>
      </c>
      <c r="CN52" s="49">
        <v>0.29946536054336098</v>
      </c>
      <c r="CO52" s="49">
        <v>0.28454610236151201</v>
      </c>
      <c r="CP52" s="49">
        <v>0.22088226066851799</v>
      </c>
      <c r="CQ52" s="49">
        <v>0.43325761277566499</v>
      </c>
      <c r="CR52" s="49">
        <v>0.46915719025288</v>
      </c>
      <c r="CS52" s="49">
        <v>0.42323769002037998</v>
      </c>
      <c r="CT52" s="49">
        <v>0.43763944408957201</v>
      </c>
      <c r="CU52" s="49">
        <v>0.677927927927928</v>
      </c>
      <c r="CV52" s="49">
        <v>0.75862068965517204</v>
      </c>
      <c r="CW52" s="49">
        <v>0.76436781609195403</v>
      </c>
      <c r="CX52" s="49">
        <v>0.74731182795698903</v>
      </c>
      <c r="CY52" s="49">
        <v>0.670940170940171</v>
      </c>
      <c r="CZ52" s="49">
        <v>0.67521367521367504</v>
      </c>
      <c r="DA52" s="49">
        <v>0.66452991452991395</v>
      </c>
      <c r="DB52" s="49">
        <v>0.65170940170940095</v>
      </c>
      <c r="DC52" s="49">
        <v>0.43284875840903297</v>
      </c>
      <c r="DD52" s="49">
        <v>0.46986295115857102</v>
      </c>
      <c r="DE52" s="49">
        <v>0.46541025134518599</v>
      </c>
      <c r="DF52" s="49">
        <v>0.36284614878108401</v>
      </c>
      <c r="DG52" s="49">
        <v>0.68057336876996299</v>
      </c>
      <c r="DH52" s="49">
        <v>0.76047741484744302</v>
      </c>
      <c r="DI52" s="49">
        <v>0.75973881891178796</v>
      </c>
      <c r="DJ52" s="49">
        <v>0.82294811617383701</v>
      </c>
      <c r="DK52" s="49">
        <v>0.37179487179487197</v>
      </c>
      <c r="DL52" s="49">
        <v>0.35641025641025598</v>
      </c>
      <c r="DM52" s="49">
        <v>0.40512820512820502</v>
      </c>
      <c r="DN52" s="49">
        <v>0.30256410256410299</v>
      </c>
      <c r="DO52" s="49">
        <v>0.55934065934065902</v>
      </c>
      <c r="DP52" s="49">
        <v>0.63833943833943796</v>
      </c>
      <c r="DQ52" s="49">
        <v>0.62765567765567798</v>
      </c>
      <c r="DR52" s="49">
        <v>0.71520146520146499</v>
      </c>
      <c r="DS52" s="49">
        <v>1.8108108108108101</v>
      </c>
      <c r="DT52" s="49">
        <v>1.55172413793103</v>
      </c>
      <c r="DU52" s="49">
        <v>1.5172413793103401</v>
      </c>
      <c r="DV52" s="49">
        <v>1.54838709677419</v>
      </c>
      <c r="DW52" s="49">
        <v>1.7692307692307701</v>
      </c>
      <c r="DX52" s="49">
        <v>1.7435897435897401</v>
      </c>
      <c r="DY52" s="49">
        <v>1.8076923076923099</v>
      </c>
      <c r="DZ52" s="49">
        <v>1.9102564102564099</v>
      </c>
      <c r="EA52" s="49">
        <v>31.2523737046474</v>
      </c>
      <c r="EB52" s="49">
        <v>9.2418605952735096</v>
      </c>
      <c r="EC52" s="49">
        <v>3.2367449690110299</v>
      </c>
      <c r="ED52" s="49">
        <v>1.47556970509781</v>
      </c>
      <c r="EE52" s="49">
        <v>149.696657642395</v>
      </c>
      <c r="EF52" s="49">
        <v>44.220825577731802</v>
      </c>
      <c r="EG52" s="49">
        <v>13.0190738047531</v>
      </c>
      <c r="EH52" s="49">
        <v>4.2911195935277302</v>
      </c>
      <c r="EI52" s="49">
        <v>2.2869362562096698</v>
      </c>
      <c r="EJ52" s="49">
        <v>183.15196879722399</v>
      </c>
      <c r="EK52" s="49">
        <v>0.20877135265975799</v>
      </c>
      <c r="EL52" s="49">
        <v>6.1737254129955697E-2</v>
      </c>
      <c r="EM52" s="49">
        <v>2.1622025634955602E-2</v>
      </c>
      <c r="EN52" s="49">
        <v>9.8570651365025592E-3</v>
      </c>
      <c r="EO52" s="49">
        <v>0.24144335367036501</v>
      </c>
      <c r="EP52" s="49">
        <v>7.1083449936413801E-2</v>
      </c>
      <c r="EQ52" s="49">
        <v>2.3429284553739198E-2</v>
      </c>
      <c r="ER52" s="49">
        <v>1.2486550219624699E-2</v>
      </c>
    </row>
    <row r="53" spans="1:148" ht="28" customHeight="1">
      <c r="A53" s="9">
        <v>18</v>
      </c>
      <c r="B53" s="9">
        <f t="shared" si="3"/>
        <v>52</v>
      </c>
      <c r="C53">
        <v>52</v>
      </c>
      <c r="D53" s="9" t="s">
        <v>103</v>
      </c>
      <c r="E53" s="9">
        <v>67153024</v>
      </c>
      <c r="F53" s="37">
        <v>31.142857142857142</v>
      </c>
      <c r="G53" s="9">
        <v>2</v>
      </c>
      <c r="H53" s="9" t="s">
        <v>18</v>
      </c>
      <c r="I53" s="9">
        <f t="shared" si="4"/>
        <v>29</v>
      </c>
      <c r="J53" s="9" t="s">
        <v>526</v>
      </c>
      <c r="K53" s="9">
        <v>1</v>
      </c>
      <c r="L53" s="9">
        <v>1</v>
      </c>
      <c r="M53" s="9" t="s">
        <v>34</v>
      </c>
      <c r="N53" s="17">
        <v>8692</v>
      </c>
      <c r="O53" s="45">
        <v>0</v>
      </c>
      <c r="P53" s="17">
        <v>1</v>
      </c>
      <c r="Q53" s="17">
        <v>1</v>
      </c>
      <c r="R53" s="18">
        <v>45532</v>
      </c>
      <c r="S53" s="9">
        <v>2</v>
      </c>
      <c r="T53" s="9">
        <v>2</v>
      </c>
      <c r="U53" s="9">
        <v>4</v>
      </c>
      <c r="V53" s="9">
        <v>6</v>
      </c>
      <c r="W53" s="9">
        <v>9</v>
      </c>
      <c r="X53" s="9">
        <v>15</v>
      </c>
      <c r="Y53" s="9">
        <v>9</v>
      </c>
      <c r="Z53" s="9">
        <v>14</v>
      </c>
      <c r="AA53" s="9">
        <v>1</v>
      </c>
      <c r="AB53" s="9">
        <v>1</v>
      </c>
      <c r="AC53" s="9">
        <v>9</v>
      </c>
      <c r="AD53" s="9">
        <v>10</v>
      </c>
      <c r="AE53" s="9">
        <v>1</v>
      </c>
      <c r="AF53" s="9">
        <v>2</v>
      </c>
      <c r="AG53" s="9">
        <v>1</v>
      </c>
      <c r="AH53" s="9">
        <v>2</v>
      </c>
      <c r="AI53" s="9">
        <v>2</v>
      </c>
      <c r="AJ53" s="9">
        <v>2</v>
      </c>
      <c r="AK53" s="9">
        <v>1</v>
      </c>
      <c r="AL53" s="9">
        <v>35</v>
      </c>
      <c r="AM53" s="9">
        <v>2</v>
      </c>
      <c r="AN53" s="9">
        <v>1</v>
      </c>
      <c r="AO53" s="9" t="s">
        <v>328</v>
      </c>
      <c r="AP53" s="31" t="s">
        <v>365</v>
      </c>
      <c r="AQ53" s="17" t="s">
        <v>366</v>
      </c>
      <c r="AR53" s="9" t="s">
        <v>174</v>
      </c>
      <c r="AS53" s="9">
        <v>1</v>
      </c>
      <c r="AT53" s="9">
        <v>2</v>
      </c>
      <c r="AU53" s="9">
        <v>2</v>
      </c>
      <c r="AV53" s="9">
        <v>38</v>
      </c>
      <c r="AW53" s="9">
        <v>1</v>
      </c>
      <c r="AX53" s="37">
        <f t="shared" si="5"/>
        <v>38.142857142857146</v>
      </c>
      <c r="AY53" s="9">
        <v>1520</v>
      </c>
      <c r="AZ53" s="9">
        <v>3</v>
      </c>
      <c r="BA53" s="9">
        <v>2</v>
      </c>
      <c r="BB53" s="9">
        <v>40</v>
      </c>
      <c r="BC53" s="9">
        <v>1</v>
      </c>
      <c r="BD53" s="9">
        <v>29</v>
      </c>
      <c r="BE53" s="9">
        <v>4</v>
      </c>
      <c r="BF53" s="9">
        <v>2540</v>
      </c>
      <c r="BG53" s="9">
        <v>2</v>
      </c>
      <c r="BH53" s="9">
        <v>48</v>
      </c>
      <c r="BI53" s="9">
        <v>3</v>
      </c>
      <c r="BJ53" s="9">
        <v>36</v>
      </c>
      <c r="BK53" s="9">
        <v>3</v>
      </c>
      <c r="BL53" s="9">
        <v>2</v>
      </c>
      <c r="BN53" s="9">
        <v>2</v>
      </c>
      <c r="BO53" s="9">
        <v>2</v>
      </c>
      <c r="BP53" s="9">
        <v>2</v>
      </c>
      <c r="BQ53" s="9">
        <v>2</v>
      </c>
      <c r="BR53" s="9">
        <v>1</v>
      </c>
      <c r="BS53" s="9">
        <v>2</v>
      </c>
      <c r="BT53" s="28" t="s">
        <v>327</v>
      </c>
      <c r="BU53" s="18">
        <v>45513</v>
      </c>
      <c r="BV53" s="9">
        <v>1</v>
      </c>
      <c r="BW53" s="9">
        <v>1</v>
      </c>
      <c r="BX53" s="9">
        <v>0</v>
      </c>
      <c r="BY53" s="9">
        <v>1</v>
      </c>
      <c r="BZ53" s="9">
        <v>0</v>
      </c>
      <c r="CA53" s="9">
        <v>1</v>
      </c>
      <c r="CB53" s="18">
        <v>45498</v>
      </c>
      <c r="CC53" s="18">
        <v>45517</v>
      </c>
      <c r="CD53" s="9">
        <v>20</v>
      </c>
      <c r="CE53" s="49">
        <v>0.30863108397571798</v>
      </c>
      <c r="CF53" s="49">
        <v>0.29208278916899399</v>
      </c>
      <c r="CG53" s="49">
        <v>0.32190182892004798</v>
      </c>
      <c r="CH53" s="49">
        <v>0.30180936304400502</v>
      </c>
      <c r="CI53" s="49">
        <v>0.47072811260334402</v>
      </c>
      <c r="CJ53" s="49">
        <v>0.43194286748008098</v>
      </c>
      <c r="CK53" s="49">
        <v>0.40296786206256902</v>
      </c>
      <c r="CL53" s="49">
        <v>0.41279253855718101</v>
      </c>
      <c r="CM53" s="49">
        <v>0.37117701168001599</v>
      </c>
      <c r="CN53" s="49">
        <v>0.35052705887140201</v>
      </c>
      <c r="CO53" s="49">
        <v>0.24381643585760299</v>
      </c>
      <c r="CP53" s="49">
        <v>0.30299042341212201</v>
      </c>
      <c r="CQ53" s="49">
        <v>0.60111253020995903</v>
      </c>
      <c r="CR53" s="49">
        <v>0.61769716146882903</v>
      </c>
      <c r="CS53" s="49">
        <v>0.57343642085236701</v>
      </c>
      <c r="CT53" s="49">
        <v>0.50910712184267204</v>
      </c>
      <c r="CU53" s="49">
        <v>0.574242424242425</v>
      </c>
      <c r="CV53" s="49">
        <v>0.574242424242425</v>
      </c>
      <c r="CW53" s="49">
        <v>0.53207070707070703</v>
      </c>
      <c r="CX53" s="49">
        <v>0.52651515151515205</v>
      </c>
      <c r="CY53" s="49">
        <v>0.72222222222222199</v>
      </c>
      <c r="CZ53" s="49">
        <v>0.72727272727272696</v>
      </c>
      <c r="DA53" s="49">
        <v>0.71969696969696995</v>
      </c>
      <c r="DB53" s="49">
        <v>0.66880341880341898</v>
      </c>
      <c r="DC53" s="49">
        <v>0.49782463205208199</v>
      </c>
      <c r="DD53" s="49">
        <v>0.49782463205208199</v>
      </c>
      <c r="DE53" s="49">
        <v>0.34615384615384598</v>
      </c>
      <c r="DF53" s="49">
        <v>0.43589743589743601</v>
      </c>
      <c r="DG53" s="49">
        <v>0.77158744672256996</v>
      </c>
      <c r="DH53" s="49">
        <v>0.87413691117542902</v>
      </c>
      <c r="DI53" s="49">
        <v>0.86741711351684303</v>
      </c>
      <c r="DJ53" s="49">
        <v>0.809896295778057</v>
      </c>
      <c r="DK53" s="49">
        <v>0.42051282051282102</v>
      </c>
      <c r="DL53" s="49">
        <v>0.42051282051282102</v>
      </c>
      <c r="DM53" s="49">
        <v>0.34615384615384598</v>
      </c>
      <c r="DN53" s="49">
        <v>0.43589743589743601</v>
      </c>
      <c r="DO53" s="49">
        <v>0.59505494505494505</v>
      </c>
      <c r="DP53" s="49">
        <v>0.71666666666666701</v>
      </c>
      <c r="DQ53" s="49">
        <v>0.67527472527472499</v>
      </c>
      <c r="DR53" s="49">
        <v>0.60183150183150202</v>
      </c>
      <c r="DS53" s="49">
        <v>2.1818181818181799</v>
      </c>
      <c r="DT53" s="49">
        <v>2.1818181818181799</v>
      </c>
      <c r="DU53" s="49">
        <v>2.39393939393939</v>
      </c>
      <c r="DV53" s="49">
        <v>2.4242424242424199</v>
      </c>
      <c r="DW53" s="49">
        <v>1.60606060606061</v>
      </c>
      <c r="DX53" s="49">
        <v>1.5757575757575799</v>
      </c>
      <c r="DY53" s="49">
        <v>1.62121212121212</v>
      </c>
      <c r="DZ53" s="49">
        <v>1.7948717948718</v>
      </c>
      <c r="EA53" s="49">
        <v>16.157104732587101</v>
      </c>
      <c r="EB53" s="49">
        <v>4.5620359103645498</v>
      </c>
      <c r="EC53" s="49">
        <v>1.8043408428716801</v>
      </c>
      <c r="ED53" s="49">
        <v>0.94709675004189298</v>
      </c>
      <c r="EE53" s="49">
        <v>74.967439657909694</v>
      </c>
      <c r="EF53" s="49">
        <v>52.439200143034299</v>
      </c>
      <c r="EG53" s="49">
        <v>8.1490578155118207</v>
      </c>
      <c r="EH53" s="49">
        <v>2.8963896665586399</v>
      </c>
      <c r="EI53" s="49">
        <v>1.94792349809502</v>
      </c>
      <c r="EJ53" s="49">
        <v>250.03162791738501</v>
      </c>
      <c r="EK53" s="49">
        <v>0.21552162920749299</v>
      </c>
      <c r="EL53" s="49">
        <v>6.0853564309811897E-2</v>
      </c>
      <c r="EM53" s="49">
        <v>2.4068326877711401E-2</v>
      </c>
      <c r="EN53" s="49">
        <v>1.26334413228419E-2</v>
      </c>
      <c r="EO53" s="49">
        <v>0.20973026724587501</v>
      </c>
      <c r="EP53" s="49">
        <v>3.2592107980052902E-2</v>
      </c>
      <c r="EQ53" s="49">
        <v>1.1584093143270901E-2</v>
      </c>
      <c r="ER53" s="49">
        <v>7.79070837685645E-3</v>
      </c>
    </row>
    <row r="54" spans="1:148" ht="28" customHeight="1">
      <c r="A54" s="9">
        <v>29</v>
      </c>
      <c r="B54" s="9">
        <f t="shared" si="3"/>
        <v>53</v>
      </c>
      <c r="C54">
        <v>53</v>
      </c>
      <c r="D54" s="20" t="s">
        <v>185</v>
      </c>
      <c r="E54" s="20">
        <v>67087440</v>
      </c>
      <c r="F54" s="37">
        <v>31</v>
      </c>
      <c r="G54" s="9">
        <v>2</v>
      </c>
      <c r="H54" s="23" t="s">
        <v>56</v>
      </c>
      <c r="I54" s="24">
        <f t="shared" si="4"/>
        <v>56</v>
      </c>
      <c r="J54" s="25" t="s">
        <v>531</v>
      </c>
      <c r="K54" s="9">
        <v>1</v>
      </c>
      <c r="L54" s="9">
        <v>1</v>
      </c>
      <c r="M54" s="23" t="s">
        <v>55</v>
      </c>
      <c r="N54" s="17">
        <v>4384</v>
      </c>
      <c r="O54" s="45">
        <v>0</v>
      </c>
      <c r="P54" s="17">
        <v>1</v>
      </c>
      <c r="Q54" s="17">
        <v>1</v>
      </c>
      <c r="R54" s="18">
        <v>45485</v>
      </c>
      <c r="S54" s="9">
        <v>2</v>
      </c>
      <c r="T54" s="9">
        <v>24</v>
      </c>
      <c r="U54" s="9">
        <v>24</v>
      </c>
      <c r="V54" s="9">
        <v>48</v>
      </c>
      <c r="W54" s="9">
        <v>24</v>
      </c>
      <c r="X54" s="9">
        <v>19</v>
      </c>
      <c r="Y54" s="9">
        <v>8</v>
      </c>
      <c r="Z54" s="9">
        <v>17</v>
      </c>
      <c r="AA54" s="9">
        <v>1</v>
      </c>
      <c r="AB54" s="9">
        <v>1</v>
      </c>
      <c r="AC54" s="9">
        <v>10</v>
      </c>
      <c r="AD54" s="9">
        <v>10</v>
      </c>
      <c r="AE54" s="9">
        <v>2</v>
      </c>
      <c r="AF54" s="9">
        <v>2</v>
      </c>
      <c r="AG54" s="9">
        <v>1</v>
      </c>
      <c r="AH54" s="9">
        <v>2</v>
      </c>
      <c r="AI54" s="9">
        <v>2</v>
      </c>
      <c r="AJ54" s="9">
        <v>1</v>
      </c>
      <c r="AK54" s="9">
        <v>1</v>
      </c>
      <c r="AL54" s="9">
        <v>34</v>
      </c>
      <c r="AM54" s="9">
        <v>3</v>
      </c>
      <c r="AN54" s="9">
        <v>1</v>
      </c>
      <c r="AO54" s="17" t="s">
        <v>336</v>
      </c>
      <c r="AP54" s="31" t="s">
        <v>378</v>
      </c>
      <c r="AQ54" s="9" t="s">
        <v>153</v>
      </c>
      <c r="AR54" s="9" t="s">
        <v>152</v>
      </c>
      <c r="AS54" s="9">
        <v>1</v>
      </c>
      <c r="AT54" s="9">
        <v>2</v>
      </c>
      <c r="AU54" s="9">
        <v>1</v>
      </c>
      <c r="AV54" s="9">
        <v>40</v>
      </c>
      <c r="AW54" s="9">
        <v>0</v>
      </c>
      <c r="AX54" s="37">
        <f t="shared" si="5"/>
        <v>40</v>
      </c>
      <c r="AY54" s="9">
        <v>1100</v>
      </c>
      <c r="AZ54" s="9">
        <v>2</v>
      </c>
      <c r="BA54" s="9">
        <v>2</v>
      </c>
      <c r="BB54" s="9">
        <v>39</v>
      </c>
      <c r="BC54" s="9">
        <v>3</v>
      </c>
      <c r="BD54" s="9">
        <v>29</v>
      </c>
      <c r="BE54" s="9">
        <v>4</v>
      </c>
      <c r="BF54" s="9">
        <v>2000</v>
      </c>
      <c r="BG54" s="9">
        <v>1</v>
      </c>
      <c r="BH54" s="9">
        <v>43</v>
      </c>
      <c r="BI54" s="9">
        <v>1</v>
      </c>
      <c r="BJ54" s="9">
        <v>31</v>
      </c>
      <c r="BK54" s="9">
        <v>1</v>
      </c>
      <c r="BL54" s="9">
        <v>1</v>
      </c>
      <c r="BN54" s="9">
        <v>2</v>
      </c>
      <c r="BO54" s="9">
        <v>3</v>
      </c>
      <c r="BP54" s="9">
        <v>1</v>
      </c>
      <c r="BR54" s="9">
        <v>2</v>
      </c>
      <c r="BS54" s="9">
        <v>2</v>
      </c>
      <c r="BT54" s="42">
        <v>45433</v>
      </c>
      <c r="BU54" s="34">
        <v>45497</v>
      </c>
      <c r="BV54" s="9">
        <v>2</v>
      </c>
      <c r="BW54" s="9">
        <v>2</v>
      </c>
      <c r="BX54" s="9">
        <v>9</v>
      </c>
      <c r="BY54" s="9">
        <v>2</v>
      </c>
      <c r="BZ54" s="9">
        <v>140</v>
      </c>
      <c r="CA54" s="9">
        <v>1</v>
      </c>
      <c r="CB54" s="18">
        <v>45433</v>
      </c>
      <c r="CC54" s="18">
        <v>45464</v>
      </c>
      <c r="CD54" s="9">
        <v>32</v>
      </c>
      <c r="CE54" s="49">
        <v>0.25496760390774098</v>
      </c>
      <c r="CF54" s="49">
        <v>0.231547762953801</v>
      </c>
      <c r="CG54" s="49">
        <v>0.23074382584251199</v>
      </c>
      <c r="CH54" s="49">
        <v>0.22553254069313999</v>
      </c>
      <c r="CI54" s="49">
        <v>0.37264067583433602</v>
      </c>
      <c r="CJ54" s="49">
        <v>0.39243124576251698</v>
      </c>
      <c r="CK54" s="49">
        <v>0.38040057617681799</v>
      </c>
      <c r="CL54" s="49">
        <v>0.34941551297237</v>
      </c>
      <c r="CM54" s="49">
        <v>0.42679499356135497</v>
      </c>
      <c r="CN54" s="49">
        <v>0.32075892320509602</v>
      </c>
      <c r="CO54" s="49">
        <v>0.38219507068681202</v>
      </c>
      <c r="CP54" s="49">
        <v>0.38027114362292702</v>
      </c>
      <c r="CQ54" s="49">
        <v>0.56800702310674001</v>
      </c>
      <c r="CR54" s="49">
        <v>0.50779946847446</v>
      </c>
      <c r="CS54" s="49">
        <v>0.49452576433344297</v>
      </c>
      <c r="CT54" s="49">
        <v>0.52999989453053697</v>
      </c>
      <c r="CU54" s="49">
        <v>0.69675925925925897</v>
      </c>
      <c r="CV54" s="49">
        <v>0.6875</v>
      </c>
      <c r="CW54" s="49">
        <v>0.69212962962962998</v>
      </c>
      <c r="CX54" s="49">
        <v>0.68518518518518501</v>
      </c>
      <c r="CY54" s="49">
        <v>0.82608695652173902</v>
      </c>
      <c r="CZ54" s="49">
        <v>0.69191919191919204</v>
      </c>
      <c r="DA54" s="49">
        <v>0.69191919191919204</v>
      </c>
      <c r="DB54" s="49">
        <v>0.76060606060605995</v>
      </c>
      <c r="DC54" s="49">
        <v>0.536739752697724</v>
      </c>
      <c r="DD54" s="49">
        <v>0.433693242458498</v>
      </c>
      <c r="DE54" s="49">
        <v>0.52949507560359699</v>
      </c>
      <c r="DF54" s="49">
        <v>0.53084932818139297</v>
      </c>
      <c r="DG54" s="49">
        <v>0.74296207935272995</v>
      </c>
      <c r="DH54" s="49">
        <v>0.74775251249229802</v>
      </c>
      <c r="DI54" s="49">
        <v>0.75188254230795604</v>
      </c>
      <c r="DJ54" s="49">
        <v>0.80359014338215595</v>
      </c>
      <c r="DK54" s="49">
        <v>0.39743589743589702</v>
      </c>
      <c r="DL54" s="49">
        <v>0.35128205128205098</v>
      </c>
      <c r="DM54" s="49">
        <v>0.41538461538461502</v>
      </c>
      <c r="DN54" s="49">
        <v>0.41538461538461502</v>
      </c>
      <c r="DO54" s="49">
        <v>0.64688644688644703</v>
      </c>
      <c r="DP54" s="49">
        <v>0.59010989010989001</v>
      </c>
      <c r="DQ54" s="49">
        <v>0.59780219780219801</v>
      </c>
      <c r="DR54" s="49">
        <v>0.65512820512820502</v>
      </c>
      <c r="DS54" s="49">
        <v>1.7222222222222201</v>
      </c>
      <c r="DT54" s="49">
        <v>1.7777777777777799</v>
      </c>
      <c r="DU54" s="49">
        <v>1.75</v>
      </c>
      <c r="DV54" s="49">
        <v>1.80555555555556</v>
      </c>
      <c r="DW54" s="49">
        <v>1.39130434782609</v>
      </c>
      <c r="DX54" s="49">
        <v>1.8181818181818199</v>
      </c>
      <c r="DY54" s="49">
        <v>1.8181818181818199</v>
      </c>
      <c r="DZ54" s="49">
        <v>1.5636363636363599</v>
      </c>
      <c r="EA54" s="49">
        <v>51.913973932691199</v>
      </c>
      <c r="EB54" s="49">
        <v>14.1948212957438</v>
      </c>
      <c r="EC54" s="49">
        <v>5.4187683431207603</v>
      </c>
      <c r="ED54" s="49">
        <v>2.1754121830142199</v>
      </c>
      <c r="EE54" s="49">
        <v>291.44855258428902</v>
      </c>
      <c r="EF54" s="49">
        <v>60.538393386616399</v>
      </c>
      <c r="EG54" s="49">
        <v>17.866220277132399</v>
      </c>
      <c r="EH54" s="49">
        <v>6.9905875647953399</v>
      </c>
      <c r="EI54" s="49">
        <v>2.80577529753565</v>
      </c>
      <c r="EJ54" s="49">
        <v>270.87810728476398</v>
      </c>
      <c r="EK54" s="49">
        <v>0.17812397238678099</v>
      </c>
      <c r="EL54" s="49">
        <v>4.8704380824257397E-2</v>
      </c>
      <c r="EM54" s="49">
        <v>1.8592538185804201E-2</v>
      </c>
      <c r="EN54" s="49">
        <v>7.46413788548518E-3</v>
      </c>
      <c r="EO54" s="49">
        <v>0.22348942848664599</v>
      </c>
      <c r="EP54" s="49">
        <v>6.59566786560212E-2</v>
      </c>
      <c r="EQ54" s="49">
        <v>2.58071338243899E-2</v>
      </c>
      <c r="ER54" s="49">
        <v>1.0358073325527401E-2</v>
      </c>
    </row>
    <row r="55" spans="1:148" ht="28" customHeight="1">
      <c r="A55" s="17">
        <v>68</v>
      </c>
      <c r="B55" s="9">
        <f t="shared" si="3"/>
        <v>54</v>
      </c>
      <c r="C55">
        <v>54</v>
      </c>
      <c r="D55" s="9" t="s">
        <v>210</v>
      </c>
      <c r="E55" s="9">
        <v>66957304</v>
      </c>
      <c r="F55" s="37">
        <v>25</v>
      </c>
      <c r="G55" s="20">
        <v>1</v>
      </c>
      <c r="H55" s="22">
        <v>45386</v>
      </c>
      <c r="I55" s="20">
        <f t="shared" si="4"/>
        <v>86</v>
      </c>
      <c r="J55" s="28" t="s">
        <v>537</v>
      </c>
      <c r="K55" s="9">
        <v>1</v>
      </c>
      <c r="L55" s="9">
        <v>1</v>
      </c>
      <c r="M55" s="22">
        <v>45300</v>
      </c>
      <c r="N55" s="17">
        <v>16604</v>
      </c>
      <c r="O55" s="45">
        <v>0</v>
      </c>
      <c r="P55" s="17">
        <v>1</v>
      </c>
      <c r="Q55" s="17">
        <v>1</v>
      </c>
      <c r="R55" s="18">
        <v>45387</v>
      </c>
      <c r="S55" s="9">
        <v>2</v>
      </c>
      <c r="T55" s="9">
        <v>54</v>
      </c>
      <c r="U55" s="9">
        <v>25</v>
      </c>
      <c r="V55" s="9">
        <v>79</v>
      </c>
      <c r="W55" s="9">
        <v>24</v>
      </c>
      <c r="X55" s="9">
        <v>24</v>
      </c>
      <c r="Y55" s="9">
        <v>4</v>
      </c>
      <c r="Z55" s="9">
        <v>60</v>
      </c>
      <c r="AA55" s="9">
        <v>2</v>
      </c>
      <c r="AB55" s="9">
        <v>1</v>
      </c>
      <c r="AC55" s="9">
        <v>4</v>
      </c>
      <c r="AD55" s="9">
        <v>7</v>
      </c>
      <c r="AE55" s="9">
        <v>5</v>
      </c>
      <c r="AF55" s="9">
        <v>1</v>
      </c>
      <c r="AG55" s="9">
        <v>1</v>
      </c>
      <c r="AH55" s="9">
        <v>1</v>
      </c>
      <c r="AI55" s="9">
        <v>1</v>
      </c>
      <c r="AJ55" s="9">
        <v>2</v>
      </c>
      <c r="AK55" s="9">
        <v>1</v>
      </c>
      <c r="AL55" s="9">
        <v>33</v>
      </c>
      <c r="AM55" s="9">
        <v>1</v>
      </c>
      <c r="AN55" s="9">
        <v>1</v>
      </c>
      <c r="AO55" s="9" t="s">
        <v>450</v>
      </c>
      <c r="AP55" s="9" t="s">
        <v>451</v>
      </c>
      <c r="AQ55" s="9" t="s">
        <v>452</v>
      </c>
      <c r="AR55" s="9" t="s">
        <v>453</v>
      </c>
      <c r="AS55" s="9">
        <v>1</v>
      </c>
      <c r="AT55" s="9">
        <v>2</v>
      </c>
      <c r="AU55" s="9">
        <v>4</v>
      </c>
      <c r="AV55" s="9">
        <v>41</v>
      </c>
      <c r="AW55" s="9">
        <v>0</v>
      </c>
      <c r="AX55" s="37">
        <f t="shared" si="5"/>
        <v>41</v>
      </c>
      <c r="AY55" s="9">
        <v>670</v>
      </c>
      <c r="AZ55" s="9">
        <v>1</v>
      </c>
      <c r="BA55" s="9">
        <v>3</v>
      </c>
      <c r="BB55" s="9">
        <v>32</v>
      </c>
      <c r="BC55" s="9">
        <v>3</v>
      </c>
      <c r="BD55" s="9">
        <v>22</v>
      </c>
      <c r="BE55" s="9">
        <v>3</v>
      </c>
      <c r="BF55" s="9">
        <v>2270</v>
      </c>
      <c r="BG55" s="9">
        <v>2</v>
      </c>
      <c r="BH55" s="9">
        <v>45</v>
      </c>
      <c r="BI55" s="9">
        <v>2</v>
      </c>
      <c r="BJ55" s="9">
        <v>32</v>
      </c>
      <c r="BK55" s="9">
        <v>1</v>
      </c>
      <c r="BL55" s="9">
        <v>2</v>
      </c>
      <c r="BM55" s="9">
        <v>6</v>
      </c>
      <c r="BN55" s="9">
        <v>2</v>
      </c>
      <c r="BO55" s="9">
        <v>2</v>
      </c>
      <c r="BP55" s="9">
        <v>2</v>
      </c>
      <c r="BQ55" s="9">
        <v>1</v>
      </c>
      <c r="BR55" s="9">
        <v>2</v>
      </c>
      <c r="BS55" s="9">
        <v>2</v>
      </c>
      <c r="BT55" s="18">
        <v>45300</v>
      </c>
      <c r="BU55" s="18">
        <v>45413</v>
      </c>
      <c r="BV55" s="9">
        <v>2</v>
      </c>
      <c r="BW55" s="9">
        <v>2</v>
      </c>
      <c r="BX55" s="9">
        <v>5</v>
      </c>
      <c r="BY55" s="9">
        <v>2</v>
      </c>
      <c r="BZ55" s="9">
        <v>70</v>
      </c>
      <c r="CA55" s="9">
        <v>1</v>
      </c>
      <c r="CB55" s="18">
        <v>45300</v>
      </c>
      <c r="CC55" s="18">
        <v>45373</v>
      </c>
      <c r="CD55" s="9">
        <v>74</v>
      </c>
      <c r="CE55" s="49">
        <v>0.196840506926068</v>
      </c>
      <c r="CF55" s="49">
        <v>0.18438188845935699</v>
      </c>
      <c r="CG55" s="49">
        <v>0.17705868203668401</v>
      </c>
      <c r="CH55" s="49">
        <v>0.17385978440112401</v>
      </c>
      <c r="CI55" s="49">
        <v>0.44664419075420397</v>
      </c>
      <c r="CJ55" s="49">
        <v>0.37086517629256099</v>
      </c>
      <c r="CK55" s="49">
        <v>0.34209080698825101</v>
      </c>
      <c r="CL55" s="49">
        <v>0.33476223248785902</v>
      </c>
      <c r="CM55" s="49">
        <v>0.33686170292527401</v>
      </c>
      <c r="CN55" s="49">
        <v>0.25828468055694298</v>
      </c>
      <c r="CO55" s="49">
        <v>0.24603010955586899</v>
      </c>
      <c r="CP55" s="49">
        <v>0.24290794647983199</v>
      </c>
      <c r="CQ55" s="49">
        <v>0.52556237612761303</v>
      </c>
      <c r="CR55" s="49">
        <v>0.53609098073510397</v>
      </c>
      <c r="CS55" s="49">
        <v>0.49344438596774998</v>
      </c>
      <c r="CT55" s="49">
        <v>0.48398464968622601</v>
      </c>
      <c r="CU55" s="49">
        <v>0.73387096774193605</v>
      </c>
      <c r="CV55" s="49">
        <v>0.74731182795698903</v>
      </c>
      <c r="CW55" s="49">
        <v>0.75268817204301097</v>
      </c>
      <c r="CX55" s="49">
        <v>0.75268817204301097</v>
      </c>
      <c r="CY55" s="49">
        <v>0.67521367521367504</v>
      </c>
      <c r="CZ55" s="49">
        <v>0.709595959595959</v>
      </c>
      <c r="DA55" s="49">
        <v>0.70454545454545503</v>
      </c>
      <c r="DB55" s="49">
        <v>0.70454545454545503</v>
      </c>
      <c r="DC55" s="49">
        <v>0.50944008662274398</v>
      </c>
      <c r="DD55" s="49">
        <v>0.40301918692216099</v>
      </c>
      <c r="DE55" s="49">
        <v>0.40592133210603998</v>
      </c>
      <c r="DF55" s="49">
        <v>0.40592133210603998</v>
      </c>
      <c r="DG55" s="49">
        <v>0.78626595931819998</v>
      </c>
      <c r="DH55" s="49">
        <v>0.87101155294300403</v>
      </c>
      <c r="DI55" s="49">
        <v>0.86827575809980795</v>
      </c>
      <c r="DJ55" s="49">
        <v>0.865101920038025</v>
      </c>
      <c r="DK55" s="49">
        <v>0.41025641025641002</v>
      </c>
      <c r="DL55" s="49">
        <v>0.33333333333333298</v>
      </c>
      <c r="DM55" s="49">
        <v>0.34615384615384598</v>
      </c>
      <c r="DN55" s="49">
        <v>0.34615384615384598</v>
      </c>
      <c r="DO55" s="49">
        <v>0.59682539682539704</v>
      </c>
      <c r="DP55" s="49">
        <v>0.69578754578754598</v>
      </c>
      <c r="DQ55" s="49">
        <v>0.67124542124542097</v>
      </c>
      <c r="DR55" s="49">
        <v>0.65586080586080597</v>
      </c>
      <c r="DS55" s="49">
        <v>1.6451612903225801</v>
      </c>
      <c r="DT55" s="49">
        <v>1.54838709677419</v>
      </c>
      <c r="DU55" s="49">
        <v>1.5161290322580601</v>
      </c>
      <c r="DV55" s="49">
        <v>1.5161290322580601</v>
      </c>
      <c r="DW55" s="49">
        <v>1.7435897435897401</v>
      </c>
      <c r="DX55" s="49">
        <v>1.6818181818181801</v>
      </c>
      <c r="DY55" s="49">
        <v>1.72727272727273</v>
      </c>
      <c r="DZ55" s="49">
        <v>1.72727272727273</v>
      </c>
      <c r="EA55" s="49">
        <v>42.864035414577501</v>
      </c>
      <c r="EB55" s="49">
        <v>10.9757259093427</v>
      </c>
      <c r="EC55" s="49">
        <v>3.8169443502365699</v>
      </c>
      <c r="ED55" s="49">
        <v>1.5337540320933101</v>
      </c>
      <c r="EE55" s="49">
        <v>185.191105259838</v>
      </c>
      <c r="EF55" s="49">
        <v>37.0948950828503</v>
      </c>
      <c r="EG55" s="49">
        <v>13.0752950238121</v>
      </c>
      <c r="EH55" s="49">
        <v>4.0541690584186698</v>
      </c>
      <c r="EI55" s="49">
        <v>1.98435759021853</v>
      </c>
      <c r="EJ55" s="49">
        <v>188.71418967448</v>
      </c>
      <c r="EK55" s="49">
        <v>0.23145839188354</v>
      </c>
      <c r="EL55" s="49">
        <v>5.9267025238295502E-2</v>
      </c>
      <c r="EM55" s="49">
        <v>2.06108405956166E-2</v>
      </c>
      <c r="EN55" s="49">
        <v>8.2820070107650495E-3</v>
      </c>
      <c r="EO55" s="49">
        <v>0.19656653877928601</v>
      </c>
      <c r="EP55" s="49">
        <v>6.9286231450672503E-2</v>
      </c>
      <c r="EQ55" s="49">
        <v>2.1483117222991299E-2</v>
      </c>
      <c r="ER55" s="49">
        <v>1.0515147767327E-2</v>
      </c>
    </row>
    <row r="56" spans="1:148" ht="28" customHeight="1">
      <c r="A56" s="17">
        <v>73</v>
      </c>
      <c r="B56" s="9">
        <f t="shared" si="3"/>
        <v>55</v>
      </c>
      <c r="C56">
        <v>55</v>
      </c>
      <c r="D56" s="9" t="s">
        <v>217</v>
      </c>
      <c r="E56" s="9">
        <v>67134903</v>
      </c>
      <c r="F56" s="37">
        <v>32.285714285714285</v>
      </c>
      <c r="G56" s="20">
        <v>3</v>
      </c>
      <c r="H56" s="22">
        <v>45502</v>
      </c>
      <c r="I56" s="20">
        <f t="shared" si="4"/>
        <v>20</v>
      </c>
      <c r="J56" s="28" t="s">
        <v>507</v>
      </c>
      <c r="K56" s="9">
        <v>1</v>
      </c>
      <c r="L56" s="9">
        <v>1</v>
      </c>
      <c r="M56" s="22">
        <v>45482</v>
      </c>
      <c r="N56" s="17">
        <v>4232</v>
      </c>
      <c r="O56" s="45">
        <v>0</v>
      </c>
      <c r="P56" s="17">
        <v>1</v>
      </c>
      <c r="Q56" s="17">
        <v>1</v>
      </c>
      <c r="R56" s="18">
        <v>45493</v>
      </c>
      <c r="S56" s="9">
        <v>2</v>
      </c>
      <c r="T56" s="9">
        <v>0</v>
      </c>
      <c r="U56" s="9">
        <v>7</v>
      </c>
      <c r="V56" s="9">
        <v>7</v>
      </c>
      <c r="W56" s="9">
        <v>2</v>
      </c>
      <c r="X56" s="9">
        <v>8</v>
      </c>
      <c r="Y56" s="9">
        <v>8</v>
      </c>
      <c r="Z56" s="9">
        <v>8</v>
      </c>
      <c r="AA56" s="9">
        <v>2</v>
      </c>
      <c r="AB56" s="9">
        <v>1</v>
      </c>
      <c r="AC56" s="9">
        <v>9</v>
      </c>
      <c r="AD56" s="9">
        <v>10</v>
      </c>
      <c r="AE56" s="9">
        <v>1</v>
      </c>
      <c r="AF56" s="9">
        <v>2</v>
      </c>
      <c r="AG56" s="9">
        <v>1</v>
      </c>
      <c r="AH56" s="9">
        <v>2</v>
      </c>
      <c r="AI56" s="9">
        <v>2</v>
      </c>
      <c r="AJ56" s="9">
        <v>2</v>
      </c>
      <c r="AK56" s="9">
        <v>1</v>
      </c>
      <c r="AL56" s="9">
        <v>37</v>
      </c>
      <c r="AM56" s="9">
        <v>3</v>
      </c>
      <c r="AN56" s="9">
        <v>1</v>
      </c>
      <c r="AO56" s="9" t="s">
        <v>477</v>
      </c>
      <c r="AP56" s="9" t="s">
        <v>478</v>
      </c>
      <c r="AQ56" s="9" t="s">
        <v>479</v>
      </c>
      <c r="AR56" s="9" t="s">
        <v>480</v>
      </c>
      <c r="AS56" s="9">
        <v>1</v>
      </c>
      <c r="AT56" s="9">
        <v>2</v>
      </c>
      <c r="AU56" s="9">
        <v>1</v>
      </c>
      <c r="AV56" s="9">
        <v>35</v>
      </c>
      <c r="AW56" s="9">
        <v>0</v>
      </c>
      <c r="AX56" s="37">
        <f t="shared" si="5"/>
        <v>35</v>
      </c>
      <c r="AY56" s="9">
        <v>1980</v>
      </c>
      <c r="AZ56" s="9">
        <v>3</v>
      </c>
      <c r="BA56" s="9">
        <v>4</v>
      </c>
      <c r="BB56" s="9">
        <v>43</v>
      </c>
      <c r="BC56" s="9">
        <v>4</v>
      </c>
      <c r="BD56" s="9">
        <v>31</v>
      </c>
      <c r="BE56" s="9">
        <v>4</v>
      </c>
      <c r="BF56" s="9">
        <v>2500</v>
      </c>
      <c r="BG56" s="9">
        <v>4</v>
      </c>
      <c r="BH56" s="9">
        <v>45</v>
      </c>
      <c r="BI56" s="9">
        <v>4</v>
      </c>
      <c r="BJ56" s="9">
        <v>32</v>
      </c>
      <c r="BK56" s="9">
        <v>4</v>
      </c>
      <c r="BL56" s="9">
        <v>1</v>
      </c>
      <c r="BN56" s="9">
        <v>1</v>
      </c>
      <c r="BP56" s="9">
        <v>1</v>
      </c>
      <c r="BR56" s="9">
        <v>1</v>
      </c>
      <c r="BS56" s="9">
        <v>1</v>
      </c>
      <c r="BT56" s="18">
        <v>45482</v>
      </c>
      <c r="BU56" s="18">
        <v>45506</v>
      </c>
      <c r="BV56" s="9">
        <v>1</v>
      </c>
      <c r="BW56" s="9">
        <v>1</v>
      </c>
      <c r="BX56" s="9">
        <v>0</v>
      </c>
      <c r="BY56" s="9">
        <v>1</v>
      </c>
      <c r="BZ56" s="9">
        <v>0</v>
      </c>
      <c r="CA56" s="9">
        <v>1</v>
      </c>
      <c r="CB56" s="18">
        <v>45482</v>
      </c>
      <c r="CC56" s="18">
        <v>45489</v>
      </c>
      <c r="CD56" s="9">
        <v>8</v>
      </c>
      <c r="CE56" s="49">
        <v>0.263533525252165</v>
      </c>
      <c r="CF56" s="49">
        <v>0.20290941248168701</v>
      </c>
      <c r="CG56" s="49">
        <v>0.202428041658543</v>
      </c>
      <c r="CH56" s="49">
        <v>0.20323471096031001</v>
      </c>
      <c r="CI56" s="49">
        <v>0.38998477803965398</v>
      </c>
      <c r="CJ56" s="49">
        <v>0.36000232216431699</v>
      </c>
      <c r="CK56" s="49">
        <v>0.36044272590376503</v>
      </c>
      <c r="CL56" s="49">
        <v>0.33074819210195699</v>
      </c>
      <c r="CM56" s="49">
        <v>0.29948653246007301</v>
      </c>
      <c r="CN56" s="49">
        <v>0.25909096810945098</v>
      </c>
      <c r="CO56" s="49">
        <v>0.32049383968883199</v>
      </c>
      <c r="CP56" s="49">
        <v>0.35912513258214501</v>
      </c>
      <c r="CQ56" s="49">
        <v>0.58914262498939596</v>
      </c>
      <c r="CR56" s="49">
        <v>0.48408567827717602</v>
      </c>
      <c r="CS56" s="49">
        <v>0.48486612974437998</v>
      </c>
      <c r="CT56" s="49">
        <v>0.43941017825454698</v>
      </c>
      <c r="CU56" s="49">
        <v>0.62137681159420299</v>
      </c>
      <c r="CV56" s="49">
        <v>0.75555555555555598</v>
      </c>
      <c r="CW56" s="49">
        <v>0.75</v>
      </c>
      <c r="CX56" s="49">
        <v>0.72916666666666696</v>
      </c>
      <c r="CY56" s="49">
        <v>0.83695652173913104</v>
      </c>
      <c r="CZ56" s="49">
        <v>0.90789473684210498</v>
      </c>
      <c r="DA56" s="49">
        <v>0.90789473684210498</v>
      </c>
      <c r="DB56" s="49">
        <v>0.90789473684210498</v>
      </c>
      <c r="DC56" s="49">
        <v>0.41687511418265899</v>
      </c>
      <c r="DD56" s="49">
        <v>0.39296182589137002</v>
      </c>
      <c r="DE56" s="49">
        <v>0.48157300103739298</v>
      </c>
      <c r="DF56" s="49">
        <v>0.52389258163536701</v>
      </c>
      <c r="DG56" s="49">
        <v>0.74506554232859601</v>
      </c>
      <c r="DH56" s="49">
        <v>0.59615384615384603</v>
      </c>
      <c r="DI56" s="49">
        <v>0.59615384615384603</v>
      </c>
      <c r="DJ56" s="49">
        <v>0.59615384615384603</v>
      </c>
      <c r="DK56" s="49">
        <v>0.31794871794871798</v>
      </c>
      <c r="DL56" s="49">
        <v>0.34615384615384598</v>
      </c>
      <c r="DM56" s="49">
        <v>0.39230769230769202</v>
      </c>
      <c r="DN56" s="49">
        <v>0.497435897435897</v>
      </c>
      <c r="DO56" s="49">
        <v>0.66172161172161204</v>
      </c>
      <c r="DP56" s="49">
        <v>0.59615384615384603</v>
      </c>
      <c r="DQ56" s="49">
        <v>0.59615384615384603</v>
      </c>
      <c r="DR56" s="49">
        <v>0.59615384615384603</v>
      </c>
      <c r="DS56" s="49">
        <v>2</v>
      </c>
      <c r="DT56" s="49">
        <v>1.5333333333333301</v>
      </c>
      <c r="DU56" s="49">
        <v>1.56666666666667</v>
      </c>
      <c r="DV56" s="49">
        <v>1.625</v>
      </c>
      <c r="DW56" s="49">
        <v>1.3260869565217399</v>
      </c>
      <c r="DX56" s="49">
        <v>1.18421052631579</v>
      </c>
      <c r="DY56" s="49">
        <v>1.18421052631579</v>
      </c>
      <c r="DZ56" s="49">
        <v>1.18421052631579</v>
      </c>
      <c r="EA56" s="49">
        <v>42.777654786108997</v>
      </c>
      <c r="EB56" s="49">
        <v>15.089553458818999</v>
      </c>
      <c r="EC56" s="49">
        <v>4.94711830825573</v>
      </c>
      <c r="ED56" s="49">
        <v>3.6793859481010398</v>
      </c>
      <c r="EE56" s="49">
        <v>225.86703764862901</v>
      </c>
      <c r="EF56" s="49">
        <v>92.991716854945096</v>
      </c>
      <c r="EG56" s="49">
        <v>41.845143605289003</v>
      </c>
      <c r="EH56" s="49">
        <v>10.824324006202</v>
      </c>
      <c r="EI56" s="49">
        <v>3.96495428726654</v>
      </c>
      <c r="EJ56" s="49">
        <v>380.95441643129698</v>
      </c>
      <c r="EK56" s="49">
        <v>0.18939308378700301</v>
      </c>
      <c r="EL56" s="49">
        <v>6.6807240294589301E-2</v>
      </c>
      <c r="EM56" s="49">
        <v>2.1902790065152101E-2</v>
      </c>
      <c r="EN56" s="49">
        <v>1.62900527071369E-2</v>
      </c>
      <c r="EO56" s="49">
        <v>0.244101952475239</v>
      </c>
      <c r="EP56" s="49">
        <v>0.109842915058672</v>
      </c>
      <c r="EQ56" s="49">
        <v>2.8413698698133202E-2</v>
      </c>
      <c r="ER56" s="49">
        <v>1.04079493930256E-2</v>
      </c>
    </row>
    <row r="57" spans="1:148" ht="28" customHeight="1">
      <c r="A57" s="9">
        <v>20</v>
      </c>
      <c r="B57" s="9">
        <f t="shared" si="3"/>
        <v>56</v>
      </c>
      <c r="C57">
        <v>56</v>
      </c>
      <c r="D57" s="20" t="s">
        <v>105</v>
      </c>
      <c r="E57" s="20">
        <v>67094904</v>
      </c>
      <c r="F57" s="37">
        <v>33.857142857142854</v>
      </c>
      <c r="G57" s="20">
        <v>3</v>
      </c>
      <c r="H57" s="23" t="s">
        <v>85</v>
      </c>
      <c r="I57" s="24">
        <f t="shared" si="4"/>
        <v>15</v>
      </c>
      <c r="J57" s="25" t="s">
        <v>542</v>
      </c>
      <c r="K57" s="9">
        <v>1</v>
      </c>
      <c r="L57" s="9">
        <v>1</v>
      </c>
      <c r="M57" s="23" t="s">
        <v>59</v>
      </c>
      <c r="N57" s="17">
        <v>1528</v>
      </c>
      <c r="O57" s="45">
        <v>0</v>
      </c>
      <c r="P57" s="17">
        <v>1</v>
      </c>
      <c r="Q57" s="17">
        <v>1</v>
      </c>
      <c r="R57" s="18">
        <v>45447</v>
      </c>
      <c r="S57" s="9">
        <v>2</v>
      </c>
      <c r="T57" s="9">
        <v>5</v>
      </c>
      <c r="U57" s="9">
        <v>0</v>
      </c>
      <c r="V57" s="9">
        <v>5</v>
      </c>
      <c r="W57" s="9">
        <v>2</v>
      </c>
      <c r="X57" s="9">
        <v>0</v>
      </c>
      <c r="Y57" s="9">
        <v>4</v>
      </c>
      <c r="Z57" s="9">
        <v>3</v>
      </c>
      <c r="AA57" s="9">
        <v>1</v>
      </c>
      <c r="AB57" s="9">
        <v>1</v>
      </c>
      <c r="AC57" s="9">
        <v>8</v>
      </c>
      <c r="AD57" s="9">
        <v>8</v>
      </c>
      <c r="AE57" s="9">
        <v>1</v>
      </c>
      <c r="AF57" s="9">
        <v>2</v>
      </c>
      <c r="AG57" s="9">
        <v>1</v>
      </c>
      <c r="AH57" s="9">
        <v>2</v>
      </c>
      <c r="AI57" s="9">
        <v>1</v>
      </c>
      <c r="AJ57" s="9">
        <v>1</v>
      </c>
      <c r="AK57" s="9">
        <v>1</v>
      </c>
      <c r="AL57" s="9">
        <v>32</v>
      </c>
      <c r="AM57" s="9">
        <v>3</v>
      </c>
      <c r="AN57" s="9">
        <v>1</v>
      </c>
      <c r="AO57" s="9" t="s">
        <v>329</v>
      </c>
      <c r="AP57" s="17" t="s">
        <v>367</v>
      </c>
      <c r="AQ57" s="9" t="s">
        <v>159</v>
      </c>
      <c r="AU57" s="9">
        <v>1</v>
      </c>
      <c r="AV57" s="9">
        <v>36</v>
      </c>
      <c r="AW57" s="9">
        <v>0</v>
      </c>
      <c r="AX57" s="37">
        <f t="shared" si="5"/>
        <v>36</v>
      </c>
      <c r="AY57" s="9">
        <v>2225</v>
      </c>
      <c r="AZ57" s="9">
        <v>3</v>
      </c>
      <c r="BA57" s="9">
        <v>4</v>
      </c>
      <c r="BB57" s="9">
        <v>45</v>
      </c>
      <c r="BC57" s="9">
        <v>4</v>
      </c>
      <c r="BD57" s="9">
        <v>39</v>
      </c>
      <c r="BE57" s="9">
        <v>3</v>
      </c>
      <c r="BF57" s="9">
        <v>2195</v>
      </c>
      <c r="BG57" s="9">
        <v>3</v>
      </c>
      <c r="BH57" s="9">
        <v>47</v>
      </c>
      <c r="BI57" s="9">
        <v>4</v>
      </c>
      <c r="BJ57" s="9">
        <v>31</v>
      </c>
      <c r="BK57" s="9">
        <v>3</v>
      </c>
      <c r="BL57" s="9">
        <v>1</v>
      </c>
      <c r="BN57" s="9">
        <v>1</v>
      </c>
      <c r="BP57" s="9">
        <v>1</v>
      </c>
      <c r="BR57" s="9">
        <v>1</v>
      </c>
      <c r="BS57" s="9">
        <v>1</v>
      </c>
      <c r="BT57" s="42">
        <v>45441</v>
      </c>
      <c r="BU57" s="18">
        <v>45090</v>
      </c>
      <c r="BV57" s="9">
        <v>2</v>
      </c>
      <c r="BW57" s="9">
        <v>2</v>
      </c>
      <c r="BX57" s="9">
        <v>2</v>
      </c>
      <c r="BY57" s="9">
        <v>1</v>
      </c>
      <c r="BZ57" s="9">
        <v>0</v>
      </c>
      <c r="CA57" s="9">
        <v>2</v>
      </c>
      <c r="CB57" s="18">
        <v>45441</v>
      </c>
      <c r="CC57" s="18">
        <v>45442</v>
      </c>
      <c r="CD57" s="9">
        <v>2</v>
      </c>
      <c r="CE57" s="49">
        <v>0.23795712624773499</v>
      </c>
      <c r="CF57" s="49">
        <v>0.316307002145365</v>
      </c>
      <c r="CG57" s="49">
        <v>0.30298526756761801</v>
      </c>
      <c r="CH57" s="49">
        <v>0.32872025488848</v>
      </c>
      <c r="CI57" s="49">
        <v>0.50891997114494103</v>
      </c>
      <c r="CJ57" s="49">
        <v>0.51583068964987899</v>
      </c>
      <c r="CK57" s="49">
        <v>0.50501697648958799</v>
      </c>
      <c r="CL57" s="49">
        <v>0.48309700209459799</v>
      </c>
      <c r="CM57" s="49">
        <v>0.64954436184036701</v>
      </c>
      <c r="CN57" s="49">
        <v>0.33116073861380901</v>
      </c>
      <c r="CO57" s="49">
        <v>0.49259039487599299</v>
      </c>
      <c r="CP57" s="49">
        <v>0.42755207482478003</v>
      </c>
      <c r="CQ57" s="49">
        <v>0.56433139212107497</v>
      </c>
      <c r="CR57" s="49">
        <v>0.61495521478910298</v>
      </c>
      <c r="CS57" s="49">
        <v>0.63035086886651504</v>
      </c>
      <c r="CT57" s="49">
        <v>0.68279580356159997</v>
      </c>
      <c r="CU57" s="49">
        <v>0.71505376344086002</v>
      </c>
      <c r="CV57" s="49">
        <v>0.63333333333333397</v>
      </c>
      <c r="CW57" s="49">
        <v>0.60518518518518605</v>
      </c>
      <c r="CX57" s="49">
        <v>0.54727272727272802</v>
      </c>
      <c r="CY57" s="49">
        <v>0.65598290598290598</v>
      </c>
      <c r="CZ57" s="49">
        <v>0.66880341880341898</v>
      </c>
      <c r="DA57" s="49">
        <v>0.65705128205128205</v>
      </c>
      <c r="DB57" s="49">
        <v>0.65170940170940195</v>
      </c>
      <c r="DC57" s="49">
        <v>0.773712874459908</v>
      </c>
      <c r="DD57" s="49">
        <v>0.37961921389570402</v>
      </c>
      <c r="DE57" s="49">
        <v>0.55910639338288404</v>
      </c>
      <c r="DF57" s="49">
        <v>0.48864927932160901</v>
      </c>
      <c r="DG57" s="49">
        <v>0.71502871087679798</v>
      </c>
      <c r="DH57" s="49">
        <v>0.78859525903289096</v>
      </c>
      <c r="DI57" s="49">
        <v>0.804708458315742</v>
      </c>
      <c r="DJ57" s="49">
        <v>0.90832523406969401</v>
      </c>
      <c r="DK57" s="49">
        <v>0.69230769230769196</v>
      </c>
      <c r="DL57" s="49">
        <v>0.269230769230769</v>
      </c>
      <c r="DM57" s="49">
        <v>0.44871794871794901</v>
      </c>
      <c r="DN57" s="49">
        <v>0.41538461538461502</v>
      </c>
      <c r="DO57" s="49">
        <v>0.61581196581196596</v>
      </c>
      <c r="DP57" s="49">
        <v>0.664468864468864</v>
      </c>
      <c r="DQ57" s="49">
        <v>0.70915750915750897</v>
      </c>
      <c r="DR57" s="49">
        <v>0.74120879120879102</v>
      </c>
      <c r="DS57" s="49">
        <v>1.7741935483871001</v>
      </c>
      <c r="DT57" s="49">
        <v>1.93333333333333</v>
      </c>
      <c r="DU57" s="49">
        <v>2.1777777777777798</v>
      </c>
      <c r="DV57" s="49">
        <v>2.47272727272727</v>
      </c>
      <c r="DW57" s="49">
        <v>1.8974358974359</v>
      </c>
      <c r="DX57" s="49">
        <v>1.7820512820512799</v>
      </c>
      <c r="DY57" s="49">
        <v>1.87179487179487</v>
      </c>
      <c r="DZ57" s="49">
        <v>1.92307692307692</v>
      </c>
      <c r="EA57" s="49">
        <v>68.501477822664</v>
      </c>
      <c r="EB57" s="49">
        <v>30.127396281481101</v>
      </c>
      <c r="EC57" s="49">
        <v>12.0667660040461</v>
      </c>
      <c r="ED57" s="49">
        <v>4.8986345035060603</v>
      </c>
      <c r="EE57" s="49">
        <v>331.68715045940502</v>
      </c>
      <c r="EF57" s="49">
        <v>96.374819177303493</v>
      </c>
      <c r="EG57" s="49">
        <v>26.150987837488401</v>
      </c>
      <c r="EH57" s="49">
        <v>12.337556668271301</v>
      </c>
      <c r="EI57" s="49">
        <v>5.8794332967264102</v>
      </c>
      <c r="EJ57" s="49">
        <v>398.06796607548199</v>
      </c>
      <c r="EK57" s="49">
        <v>0.206524364081592</v>
      </c>
      <c r="EL57" s="49">
        <v>9.0830760973866401E-2</v>
      </c>
      <c r="EM57" s="49">
        <v>3.63799622244423E-2</v>
      </c>
      <c r="EN57" s="49">
        <v>1.47688401456649E-2</v>
      </c>
      <c r="EO57" s="49">
        <v>0.24210644259435099</v>
      </c>
      <c r="EP57" s="49">
        <v>6.5694780957404803E-2</v>
      </c>
      <c r="EQ57" s="49">
        <v>3.0993593355190498E-2</v>
      </c>
      <c r="ER57" s="49">
        <v>1.4769923223642499E-2</v>
      </c>
    </row>
    <row r="58" spans="1:148" ht="28" customHeight="1">
      <c r="A58" s="9">
        <v>37</v>
      </c>
      <c r="B58" s="9">
        <f t="shared" si="3"/>
        <v>57</v>
      </c>
      <c r="C58">
        <v>57</v>
      </c>
      <c r="D58" s="9" t="s">
        <v>117</v>
      </c>
      <c r="E58" s="20">
        <v>67132722</v>
      </c>
      <c r="F58" s="37">
        <v>32.714285714285715</v>
      </c>
      <c r="G58" s="20">
        <v>3</v>
      </c>
      <c r="H58" s="23" t="s">
        <v>12</v>
      </c>
      <c r="I58" s="24">
        <f t="shared" si="4"/>
        <v>18</v>
      </c>
      <c r="J58" s="25" t="s">
        <v>526</v>
      </c>
      <c r="K58" s="9">
        <v>1</v>
      </c>
      <c r="L58" s="9">
        <v>1</v>
      </c>
      <c r="M58" s="23" t="s">
        <v>66</v>
      </c>
      <c r="N58" s="17">
        <v>3832</v>
      </c>
      <c r="O58" s="45">
        <v>0</v>
      </c>
      <c r="P58" s="17">
        <v>1</v>
      </c>
      <c r="Q58" s="17">
        <v>1</v>
      </c>
      <c r="R58" s="18">
        <v>45488</v>
      </c>
      <c r="S58" s="9">
        <v>2</v>
      </c>
      <c r="T58" s="9">
        <v>0</v>
      </c>
      <c r="U58" s="9">
        <v>8</v>
      </c>
      <c r="V58" s="9">
        <v>8</v>
      </c>
      <c r="W58" s="9">
        <v>2</v>
      </c>
      <c r="X58" s="9">
        <v>7</v>
      </c>
      <c r="Y58" s="9">
        <v>5</v>
      </c>
      <c r="Z58" s="9">
        <v>9</v>
      </c>
      <c r="AA58" s="9">
        <v>1</v>
      </c>
      <c r="AB58" s="9">
        <v>1</v>
      </c>
      <c r="AC58" s="9">
        <v>8</v>
      </c>
      <c r="AD58" s="9">
        <v>10</v>
      </c>
      <c r="AE58" s="9">
        <v>1</v>
      </c>
      <c r="AF58" s="9">
        <v>2</v>
      </c>
      <c r="AG58" s="9">
        <v>1</v>
      </c>
      <c r="AH58" s="9">
        <v>1</v>
      </c>
      <c r="AI58" s="9">
        <v>1</v>
      </c>
      <c r="AJ58" s="9">
        <v>2</v>
      </c>
      <c r="AK58" s="9">
        <v>2</v>
      </c>
      <c r="AL58" s="9">
        <v>28</v>
      </c>
      <c r="AM58" s="9">
        <v>3</v>
      </c>
      <c r="AN58" s="9">
        <v>1</v>
      </c>
      <c r="AO58" s="9" t="s">
        <v>341</v>
      </c>
      <c r="AP58" s="31" t="s">
        <v>387</v>
      </c>
      <c r="AQ58" s="9" t="s">
        <v>130</v>
      </c>
      <c r="AR58" s="9" t="s">
        <v>129</v>
      </c>
      <c r="AS58" s="9">
        <v>1</v>
      </c>
      <c r="AT58" s="9">
        <v>2</v>
      </c>
      <c r="AU58" s="9">
        <v>1</v>
      </c>
      <c r="AV58" s="9">
        <v>36</v>
      </c>
      <c r="AW58" s="9">
        <v>1</v>
      </c>
      <c r="AX58" s="37">
        <f t="shared" si="5"/>
        <v>36.142857142857146</v>
      </c>
      <c r="AY58" s="9">
        <v>1670</v>
      </c>
      <c r="AZ58" s="9">
        <v>3</v>
      </c>
      <c r="BA58" s="9">
        <v>2</v>
      </c>
      <c r="BB58" s="9">
        <v>43</v>
      </c>
      <c r="BC58" s="9">
        <v>2</v>
      </c>
      <c r="BD58" s="9">
        <v>33</v>
      </c>
      <c r="BE58" s="9">
        <v>3</v>
      </c>
      <c r="BF58" s="9">
        <v>2345</v>
      </c>
      <c r="BG58" s="9">
        <v>3</v>
      </c>
      <c r="BH58" s="9">
        <v>45</v>
      </c>
      <c r="BI58" s="9">
        <v>2</v>
      </c>
      <c r="BJ58" s="9">
        <v>34</v>
      </c>
      <c r="BK58" s="9">
        <v>3</v>
      </c>
      <c r="BL58" s="9">
        <v>1</v>
      </c>
      <c r="BN58" s="9">
        <v>1</v>
      </c>
      <c r="BP58" s="9">
        <v>1</v>
      </c>
      <c r="BR58" s="9">
        <v>1</v>
      </c>
      <c r="BS58" s="9">
        <v>1</v>
      </c>
      <c r="BT58" s="42">
        <v>45480</v>
      </c>
      <c r="BU58" s="32">
        <v>45504</v>
      </c>
      <c r="BV58" s="9">
        <v>1</v>
      </c>
      <c r="BW58" s="9">
        <v>1</v>
      </c>
      <c r="BX58" s="9">
        <v>0</v>
      </c>
      <c r="BY58" s="9">
        <v>1</v>
      </c>
      <c r="BZ58" s="9">
        <v>0</v>
      </c>
      <c r="CA58" s="9">
        <v>1</v>
      </c>
      <c r="CB58" s="18">
        <v>45480</v>
      </c>
      <c r="CC58" s="18">
        <v>45495</v>
      </c>
      <c r="CD58" s="9">
        <v>16</v>
      </c>
      <c r="CE58" s="49">
        <v>0.27951833759447298</v>
      </c>
      <c r="CF58" s="49">
        <v>0.21744102146184</v>
      </c>
      <c r="CG58" s="49">
        <v>0.21870029875167801</v>
      </c>
      <c r="CH58" s="49">
        <v>0.232417588542079</v>
      </c>
      <c r="CI58" s="49">
        <v>0.36854888977843903</v>
      </c>
      <c r="CJ58" s="49">
        <v>0.34193629948362703</v>
      </c>
      <c r="CK58" s="49">
        <v>0.35845817496354299</v>
      </c>
      <c r="CL58" s="49">
        <v>0.35777116726066599</v>
      </c>
      <c r="CM58" s="49">
        <v>0.341186118310421</v>
      </c>
      <c r="CN58" s="49">
        <v>0.36581142612928202</v>
      </c>
      <c r="CO58" s="49">
        <v>0.325694659166408</v>
      </c>
      <c r="CP58" s="49">
        <v>0.33755059291088702</v>
      </c>
      <c r="CQ58" s="49">
        <v>0.492575406534563</v>
      </c>
      <c r="CR58" s="49">
        <v>0.39724496080777599</v>
      </c>
      <c r="CS58" s="49">
        <v>0.45225985670631003</v>
      </c>
      <c r="CT58" s="49">
        <v>0.41470410853920597</v>
      </c>
      <c r="CU58" s="49">
        <v>0.56272727272727296</v>
      </c>
      <c r="CV58" s="49">
        <v>0.59703703703703703</v>
      </c>
      <c r="CW58" s="49">
        <v>0.62037037037037102</v>
      </c>
      <c r="CX58" s="49">
        <v>0.625925925925926</v>
      </c>
      <c r="CY58" s="49">
        <v>0.77272727272727304</v>
      </c>
      <c r="CZ58" s="49">
        <v>0.71717171717171702</v>
      </c>
      <c r="DA58" s="49">
        <v>0.72979797979798</v>
      </c>
      <c r="DB58" s="49">
        <v>0.72474747474747503</v>
      </c>
      <c r="DC58" s="49">
        <v>0.44615384615384601</v>
      </c>
      <c r="DD58" s="49">
        <v>0.55433876245506497</v>
      </c>
      <c r="DE58" s="49">
        <v>0.49153643183524498</v>
      </c>
      <c r="DF58" s="49">
        <v>0.50993336030687697</v>
      </c>
      <c r="DG58" s="49">
        <v>0.72065744015583899</v>
      </c>
      <c r="DH58" s="49">
        <v>0.69870343372481902</v>
      </c>
      <c r="DI58" s="49">
        <v>0.78975568130767704</v>
      </c>
      <c r="DJ58" s="49">
        <v>0.71521825777784898</v>
      </c>
      <c r="DK58" s="49">
        <v>0.44615384615384601</v>
      </c>
      <c r="DL58" s="49">
        <v>0.487179487179487</v>
      </c>
      <c r="DM58" s="49">
        <v>0.45897435897435901</v>
      </c>
      <c r="DN58" s="49">
        <v>0.46923076923076901</v>
      </c>
      <c r="DO58" s="49">
        <v>0.61043956043956105</v>
      </c>
      <c r="DP58" s="49">
        <v>0.59682539682539704</v>
      </c>
      <c r="DQ58" s="49">
        <v>0.64047619047618998</v>
      </c>
      <c r="DR58" s="49">
        <v>0.64102564102564097</v>
      </c>
      <c r="DS58" s="49">
        <v>2.2909090909090901</v>
      </c>
      <c r="DT58" s="49">
        <v>2.2222222222222201</v>
      </c>
      <c r="DU58" s="49">
        <v>2.0222222222222199</v>
      </c>
      <c r="DV58" s="49">
        <v>1.9777777777777801</v>
      </c>
      <c r="DW58" s="49">
        <v>1.4909090909090901</v>
      </c>
      <c r="DX58" s="49">
        <v>1.63636363636364</v>
      </c>
      <c r="DY58" s="49">
        <v>1.5606060606060601</v>
      </c>
      <c r="DZ58" s="49">
        <v>1.5909090909090899</v>
      </c>
      <c r="EA58" s="49">
        <v>47.498973899590297</v>
      </c>
      <c r="EB58" s="49">
        <v>9.8820758563548807</v>
      </c>
      <c r="EC58" s="49">
        <v>5.4897053974974304</v>
      </c>
      <c r="ED58" s="49">
        <v>3.2562547578902898</v>
      </c>
      <c r="EE58" s="49">
        <v>229.00899841248699</v>
      </c>
      <c r="EF58" s="49">
        <v>39.236535019394701</v>
      </c>
      <c r="EG58" s="49">
        <v>9.0345383148404004</v>
      </c>
      <c r="EH58" s="49">
        <v>4.4001112894789403</v>
      </c>
      <c r="EI58" s="49">
        <v>2.63243229557761</v>
      </c>
      <c r="EJ58" s="49">
        <v>177.878577050807</v>
      </c>
      <c r="EK58" s="49">
        <v>0.20741094991401099</v>
      </c>
      <c r="EL58" s="49">
        <v>4.3151474068086303E-2</v>
      </c>
      <c r="EM58" s="49">
        <v>2.39715707048745E-2</v>
      </c>
      <c r="EN58" s="49">
        <v>1.42188943686186E-2</v>
      </c>
      <c r="EO58" s="49">
        <v>0.22058044127589099</v>
      </c>
      <c r="EP58" s="49">
        <v>5.0790480026495097E-2</v>
      </c>
      <c r="EQ58" s="49">
        <v>2.4736600452015801E-2</v>
      </c>
      <c r="ER58" s="49">
        <v>1.47990406670822E-2</v>
      </c>
    </row>
    <row r="59" spans="1:148" ht="28" customHeight="1">
      <c r="A59" s="17">
        <v>74</v>
      </c>
      <c r="B59" s="9">
        <f t="shared" si="3"/>
        <v>58</v>
      </c>
      <c r="C59">
        <v>58</v>
      </c>
      <c r="D59" s="9" t="s">
        <v>216</v>
      </c>
      <c r="E59" s="9">
        <v>66851741</v>
      </c>
      <c r="F59" s="37">
        <v>31.142857142857142</v>
      </c>
      <c r="G59" s="9">
        <v>2</v>
      </c>
      <c r="H59" s="22">
        <v>45252</v>
      </c>
      <c r="I59" s="20">
        <f t="shared" si="4"/>
        <v>36</v>
      </c>
      <c r="J59" s="28" t="s">
        <v>527</v>
      </c>
      <c r="K59" s="9">
        <v>1</v>
      </c>
      <c r="L59" s="9">
        <v>1</v>
      </c>
      <c r="M59" s="22">
        <v>45216</v>
      </c>
      <c r="N59" s="17">
        <v>9048</v>
      </c>
      <c r="O59" s="45">
        <v>0</v>
      </c>
      <c r="P59" s="17">
        <v>1</v>
      </c>
      <c r="Q59" s="17">
        <v>1</v>
      </c>
      <c r="R59" s="18">
        <v>45257</v>
      </c>
      <c r="S59" s="9">
        <v>2</v>
      </c>
      <c r="T59" s="9">
        <v>7</v>
      </c>
      <c r="U59" s="9">
        <v>26</v>
      </c>
      <c r="V59" s="9">
        <v>33</v>
      </c>
      <c r="W59" s="9">
        <v>10</v>
      </c>
      <c r="X59" s="9">
        <v>14</v>
      </c>
      <c r="Y59" s="9">
        <v>5</v>
      </c>
      <c r="Z59" s="9">
        <v>7</v>
      </c>
      <c r="AA59" s="9">
        <v>2</v>
      </c>
      <c r="AB59" s="9">
        <v>1</v>
      </c>
      <c r="AC59" s="9">
        <v>9</v>
      </c>
      <c r="AD59" s="9">
        <v>10</v>
      </c>
      <c r="AE59" s="9">
        <v>1</v>
      </c>
      <c r="AF59" s="9">
        <v>2</v>
      </c>
      <c r="AG59" s="9">
        <v>1</v>
      </c>
      <c r="AH59" s="9">
        <v>2</v>
      </c>
      <c r="AI59" s="9">
        <v>2</v>
      </c>
      <c r="AJ59" s="9">
        <v>1</v>
      </c>
      <c r="AK59" s="9">
        <v>1</v>
      </c>
      <c r="AL59" s="9">
        <v>37</v>
      </c>
      <c r="AM59" s="9">
        <v>3</v>
      </c>
      <c r="AN59" s="9">
        <v>1</v>
      </c>
      <c r="AO59" s="9" t="s">
        <v>473</v>
      </c>
      <c r="AP59" s="9" t="s">
        <v>474</v>
      </c>
      <c r="AQ59" s="9" t="s">
        <v>475</v>
      </c>
      <c r="AR59" s="9" t="s">
        <v>476</v>
      </c>
      <c r="AS59" s="9">
        <v>1</v>
      </c>
      <c r="AT59" s="9">
        <v>2</v>
      </c>
      <c r="AU59" s="9">
        <v>1</v>
      </c>
      <c r="AV59" s="9">
        <v>37</v>
      </c>
      <c r="AW59" s="9">
        <v>4</v>
      </c>
      <c r="AX59" s="37">
        <f t="shared" si="5"/>
        <v>37.571428571428569</v>
      </c>
      <c r="AY59" s="9">
        <v>945</v>
      </c>
      <c r="AZ59" s="9">
        <v>1</v>
      </c>
      <c r="BA59" s="9">
        <v>1</v>
      </c>
      <c r="BB59" s="9">
        <v>36</v>
      </c>
      <c r="BC59" s="9">
        <v>2</v>
      </c>
      <c r="BD59" s="9">
        <v>27</v>
      </c>
      <c r="BE59" s="9">
        <v>2</v>
      </c>
      <c r="BF59" s="9">
        <v>2165</v>
      </c>
      <c r="BG59" s="9">
        <v>3</v>
      </c>
      <c r="BH59" s="9">
        <v>44</v>
      </c>
      <c r="BI59" s="9">
        <v>3</v>
      </c>
      <c r="BJ59" s="9">
        <v>31</v>
      </c>
      <c r="BK59" s="9">
        <v>2</v>
      </c>
      <c r="BL59" s="9">
        <v>1</v>
      </c>
      <c r="BN59" s="9">
        <v>2</v>
      </c>
      <c r="BO59" s="9">
        <v>2</v>
      </c>
      <c r="BP59" s="9">
        <v>1</v>
      </c>
      <c r="BR59" s="9">
        <v>1</v>
      </c>
      <c r="BS59" s="9">
        <v>2</v>
      </c>
      <c r="BT59" s="18">
        <v>45216</v>
      </c>
      <c r="BU59" s="18">
        <v>45261</v>
      </c>
      <c r="BV59" s="9">
        <v>1</v>
      </c>
      <c r="BW59" s="9">
        <v>1</v>
      </c>
      <c r="BX59" s="9">
        <v>0</v>
      </c>
      <c r="BY59" s="9">
        <v>1</v>
      </c>
      <c r="BZ59" s="9">
        <v>0</v>
      </c>
      <c r="CA59" s="9">
        <v>1</v>
      </c>
      <c r="CB59" s="18">
        <v>45216</v>
      </c>
      <c r="CC59" s="18">
        <v>45229</v>
      </c>
      <c r="CD59" s="9">
        <v>14</v>
      </c>
      <c r="CE59" s="49">
        <v>0.29372397139558298</v>
      </c>
      <c r="CF59" s="49">
        <v>0.30227741872626501</v>
      </c>
      <c r="CG59" s="49">
        <v>0.30132247510558102</v>
      </c>
      <c r="CH59" s="49">
        <v>0.30062527868423899</v>
      </c>
      <c r="CI59" s="49">
        <v>0.43621582749573901</v>
      </c>
      <c r="CJ59" s="49">
        <v>0.47471522227155799</v>
      </c>
      <c r="CK59" s="49">
        <v>0.51726217726332901</v>
      </c>
      <c r="CL59" s="49">
        <v>0.50850778439952904</v>
      </c>
      <c r="CM59" s="49">
        <v>0.39577246189754201</v>
      </c>
      <c r="CN59" s="49">
        <v>0.36039813093022</v>
      </c>
      <c r="CO59" s="49">
        <v>0.35930230281984998</v>
      </c>
      <c r="CP59" s="49">
        <v>0.357164831496946</v>
      </c>
      <c r="CQ59" s="49">
        <v>0.58496608694595997</v>
      </c>
      <c r="CR59" s="49">
        <v>0.54466898617878601</v>
      </c>
      <c r="CS59" s="49">
        <v>0.448164009719631</v>
      </c>
      <c r="CT59" s="49">
        <v>0.65155790986914397</v>
      </c>
      <c r="CU59" s="49">
        <v>0.53744588744588795</v>
      </c>
      <c r="CV59" s="49">
        <v>0.55878787878787906</v>
      </c>
      <c r="CW59" s="49">
        <v>0.55878787878787906</v>
      </c>
      <c r="CX59" s="49">
        <v>0.55878787878787906</v>
      </c>
      <c r="CY59" s="49">
        <v>0.77272727272727304</v>
      </c>
      <c r="CZ59" s="49">
        <v>0.70454545454545503</v>
      </c>
      <c r="DA59" s="49">
        <v>0.65384615384615397</v>
      </c>
      <c r="DB59" s="49">
        <v>0.65598290598290598</v>
      </c>
      <c r="DC59" s="49">
        <v>0.49886062641680101</v>
      </c>
      <c r="DD59" s="49">
        <v>0.45380978944476802</v>
      </c>
      <c r="DE59" s="49">
        <v>0.45380978944476802</v>
      </c>
      <c r="DF59" s="49">
        <v>0.45380978944476802</v>
      </c>
      <c r="DG59" s="49">
        <v>0.72415367516221196</v>
      </c>
      <c r="DH59" s="49">
        <v>0.67902941454613697</v>
      </c>
      <c r="DI59" s="49">
        <v>0.55365844718299195</v>
      </c>
      <c r="DJ59" s="49">
        <v>0.82990634292670296</v>
      </c>
      <c r="DK59" s="49">
        <v>0.35897435897435898</v>
      </c>
      <c r="DL59" s="49">
        <v>0.38461538461538503</v>
      </c>
      <c r="DM59" s="49">
        <v>0.38461538461538503</v>
      </c>
      <c r="DN59" s="49">
        <v>0.38461538461538503</v>
      </c>
      <c r="DO59" s="49">
        <v>0.63736263736263699</v>
      </c>
      <c r="DP59" s="49">
        <v>0.60042735042734996</v>
      </c>
      <c r="DQ59" s="49">
        <v>0.49578754578754602</v>
      </c>
      <c r="DR59" s="49">
        <v>0.67765567765567802</v>
      </c>
      <c r="DS59" s="49">
        <v>2.6545454545454499</v>
      </c>
      <c r="DT59" s="49">
        <v>2.3818181818181801</v>
      </c>
      <c r="DU59" s="49">
        <v>2.3818181818181801</v>
      </c>
      <c r="DV59" s="49">
        <v>2.3818181818181801</v>
      </c>
      <c r="DW59" s="49">
        <v>1.4909090909090901</v>
      </c>
      <c r="DX59" s="49">
        <v>1.7121212121212099</v>
      </c>
      <c r="DY59" s="49">
        <v>1.8974358974359</v>
      </c>
      <c r="DZ59" s="49">
        <v>1.8846153846153799</v>
      </c>
      <c r="EA59" s="49">
        <v>51.283712113954202</v>
      </c>
      <c r="EB59" s="49">
        <v>16.191301928698898</v>
      </c>
      <c r="EC59" s="49">
        <v>6.1157109993194396</v>
      </c>
      <c r="ED59" s="49">
        <v>3.1243060634925799</v>
      </c>
      <c r="EE59" s="49">
        <v>263.98161065756898</v>
      </c>
      <c r="EF59" s="49">
        <v>61.1012911255877</v>
      </c>
      <c r="EG59" s="49">
        <v>23.5007776522162</v>
      </c>
      <c r="EH59" s="49">
        <v>9.0042815663935905</v>
      </c>
      <c r="EI59" s="49">
        <v>4.1060237514390696</v>
      </c>
      <c r="EJ59" s="49">
        <v>330.48810725904701</v>
      </c>
      <c r="EK59" s="49">
        <v>0.19427001746905101</v>
      </c>
      <c r="EL59" s="49">
        <v>6.1334961508746698E-2</v>
      </c>
      <c r="EM59" s="49">
        <v>2.3167185714510301E-2</v>
      </c>
      <c r="EN59" s="49">
        <v>1.18353170726932E-2</v>
      </c>
      <c r="EO59" s="49">
        <v>0.184881966350743</v>
      </c>
      <c r="EP59" s="49">
        <v>7.1109299052009703E-2</v>
      </c>
      <c r="EQ59" s="49">
        <v>2.72454026895914E-2</v>
      </c>
      <c r="ER59" s="49">
        <v>1.2424119540920899E-2</v>
      </c>
    </row>
    <row r="60" spans="1:148" ht="28" customHeight="1">
      <c r="A60" s="9">
        <v>2</v>
      </c>
      <c r="B60" s="9">
        <f t="shared" si="3"/>
        <v>59</v>
      </c>
      <c r="C60">
        <v>59</v>
      </c>
      <c r="D60" s="9" t="s">
        <v>95</v>
      </c>
      <c r="E60" s="9">
        <v>67212274</v>
      </c>
      <c r="F60" s="37">
        <v>32.714285714285715</v>
      </c>
      <c r="G60" s="20">
        <v>3</v>
      </c>
      <c r="H60" s="9" t="s">
        <v>26</v>
      </c>
      <c r="I60" s="9">
        <f t="shared" si="4"/>
        <v>22</v>
      </c>
      <c r="J60" s="9" t="s">
        <v>540</v>
      </c>
      <c r="K60" s="9">
        <v>1</v>
      </c>
      <c r="L60" s="9">
        <v>1</v>
      </c>
      <c r="M60" s="9" t="s">
        <v>39</v>
      </c>
      <c r="N60" s="17">
        <v>3808</v>
      </c>
      <c r="O60" s="45">
        <v>0</v>
      </c>
      <c r="P60" s="17">
        <v>1</v>
      </c>
      <c r="Q60" s="17">
        <v>1</v>
      </c>
      <c r="R60" s="18">
        <v>45569</v>
      </c>
      <c r="S60" s="9">
        <v>2</v>
      </c>
      <c r="T60" s="9">
        <v>0</v>
      </c>
      <c r="U60" s="9">
        <v>10</v>
      </c>
      <c r="V60" s="9">
        <v>10</v>
      </c>
      <c r="W60" s="9">
        <v>2</v>
      </c>
      <c r="X60" s="9">
        <v>5</v>
      </c>
      <c r="Y60" s="9">
        <v>3</v>
      </c>
      <c r="Z60" s="9">
        <v>7</v>
      </c>
      <c r="AA60" s="9">
        <v>1</v>
      </c>
      <c r="AB60" s="9">
        <v>2</v>
      </c>
      <c r="AC60" s="9">
        <v>10</v>
      </c>
      <c r="AD60" s="9">
        <v>10</v>
      </c>
      <c r="AE60" s="9">
        <v>1</v>
      </c>
      <c r="AF60" s="9">
        <v>2</v>
      </c>
      <c r="AG60" s="9">
        <v>1</v>
      </c>
      <c r="AH60" s="9">
        <v>2</v>
      </c>
      <c r="AI60" s="9">
        <v>1</v>
      </c>
      <c r="AJ60" s="9">
        <v>1</v>
      </c>
      <c r="AK60" s="9">
        <v>1</v>
      </c>
      <c r="AL60" s="9">
        <v>30</v>
      </c>
      <c r="AM60" s="9">
        <v>1</v>
      </c>
      <c r="AN60" s="9">
        <v>1</v>
      </c>
      <c r="AO60" s="17" t="s">
        <v>307</v>
      </c>
      <c r="AP60" s="9" t="s">
        <v>308</v>
      </c>
      <c r="AQ60" s="17" t="s">
        <v>309</v>
      </c>
      <c r="AR60" s="9" t="s">
        <v>181</v>
      </c>
      <c r="AS60" s="9">
        <v>1</v>
      </c>
      <c r="AT60" s="9">
        <v>2</v>
      </c>
      <c r="AU60" s="9">
        <v>1</v>
      </c>
      <c r="AV60" s="9">
        <v>36</v>
      </c>
      <c r="AW60" s="9">
        <v>4</v>
      </c>
      <c r="AX60" s="37">
        <f t="shared" si="5"/>
        <v>36.571428571428569</v>
      </c>
      <c r="AY60" s="9">
        <v>1500</v>
      </c>
      <c r="AZ60" s="9">
        <v>2</v>
      </c>
      <c r="BA60" s="9">
        <v>3</v>
      </c>
      <c r="BB60" s="9">
        <v>40</v>
      </c>
      <c r="BC60" s="9">
        <v>3</v>
      </c>
      <c r="BD60" s="9">
        <v>28</v>
      </c>
      <c r="BE60" s="9">
        <v>3</v>
      </c>
      <c r="BF60" s="9">
        <v>2000</v>
      </c>
      <c r="BG60" s="9">
        <v>2</v>
      </c>
      <c r="BH60" s="9">
        <v>42.5</v>
      </c>
      <c r="BI60" s="9">
        <v>3</v>
      </c>
      <c r="BJ60" s="9">
        <v>32</v>
      </c>
      <c r="BK60" s="9">
        <v>3</v>
      </c>
      <c r="BL60" s="9">
        <v>1</v>
      </c>
      <c r="BN60" s="9">
        <v>1</v>
      </c>
      <c r="BP60" s="9">
        <v>1</v>
      </c>
      <c r="BR60" s="9">
        <v>1</v>
      </c>
      <c r="BS60" s="9">
        <v>1</v>
      </c>
      <c r="BT60" s="9" t="s">
        <v>39</v>
      </c>
      <c r="BU60" s="18">
        <v>45589</v>
      </c>
      <c r="BV60" s="9">
        <v>1</v>
      </c>
      <c r="BW60" s="9">
        <v>1</v>
      </c>
      <c r="BX60" s="9">
        <v>0</v>
      </c>
      <c r="BY60" s="9">
        <v>1</v>
      </c>
      <c r="BZ60" s="9">
        <v>0</v>
      </c>
      <c r="CA60" s="9">
        <v>1</v>
      </c>
      <c r="CB60" s="18">
        <v>45560</v>
      </c>
      <c r="CC60" s="18">
        <v>45572</v>
      </c>
      <c r="CD60" s="9">
        <v>13</v>
      </c>
      <c r="CE60" s="49">
        <v>0.219759556328123</v>
      </c>
      <c r="CF60" s="49">
        <v>0.197529359388188</v>
      </c>
      <c r="CG60" s="49">
        <v>0.19674089090480101</v>
      </c>
      <c r="CH60" s="49">
        <v>0.19268178669884201</v>
      </c>
      <c r="CI60" s="49">
        <v>0.38395201389440697</v>
      </c>
      <c r="CJ60" s="49">
        <v>0.311221074116875</v>
      </c>
      <c r="CK60" s="49">
        <v>0.32805376371648198</v>
      </c>
      <c r="CL60" s="49">
        <v>0.32799850332759201</v>
      </c>
      <c r="CM60" s="49">
        <v>0.32816629005586201</v>
      </c>
      <c r="CN60" s="49">
        <v>0.32403302055539002</v>
      </c>
      <c r="CO60" s="49">
        <v>0.32055415656243202</v>
      </c>
      <c r="CP60" s="49">
        <v>0.31434847101074598</v>
      </c>
      <c r="CQ60" s="49">
        <v>0.56362830230707195</v>
      </c>
      <c r="CR60" s="49">
        <v>0.45871857402164301</v>
      </c>
      <c r="CS60" s="49">
        <v>0.40651833818906002</v>
      </c>
      <c r="CT60" s="49">
        <v>0.40733538857965002</v>
      </c>
      <c r="CU60" s="49">
        <v>0.74193548387096797</v>
      </c>
      <c r="CV60" s="49">
        <v>0.74731182795698903</v>
      </c>
      <c r="CW60" s="49">
        <v>0.74731182795698903</v>
      </c>
      <c r="CX60" s="49">
        <v>0.74731182795698903</v>
      </c>
      <c r="CY60" s="49">
        <v>0.77575757575757598</v>
      </c>
      <c r="CZ60" s="49">
        <v>0.77575757575757598</v>
      </c>
      <c r="DA60" s="49">
        <v>0.68484848484848504</v>
      </c>
      <c r="DB60" s="49">
        <v>0.68106060606060603</v>
      </c>
      <c r="DC60" s="49">
        <v>0.44225256578088001</v>
      </c>
      <c r="DD60" s="49">
        <v>0.48801643231858599</v>
      </c>
      <c r="DE60" s="49">
        <v>0.48773032669517202</v>
      </c>
      <c r="DF60" s="49">
        <v>0.48773032669517202</v>
      </c>
      <c r="DG60" s="49">
        <v>0.80508024239890397</v>
      </c>
      <c r="DH60" s="49">
        <v>0.81190366551898496</v>
      </c>
      <c r="DI60" s="49">
        <v>0.70282467102371204</v>
      </c>
      <c r="DJ60" s="49">
        <v>0.69510496937392197</v>
      </c>
      <c r="DK60" s="49">
        <v>0.37179487179487197</v>
      </c>
      <c r="DL60" s="49">
        <v>0.40256410256410302</v>
      </c>
      <c r="DM60" s="49">
        <v>0.39743589743589702</v>
      </c>
      <c r="DN60" s="49">
        <v>0.39743589743589702</v>
      </c>
      <c r="DO60" s="49">
        <v>0.65641025641025696</v>
      </c>
      <c r="DP60" s="49">
        <v>0.68681318681318704</v>
      </c>
      <c r="DQ60" s="49">
        <v>0.59798534798534797</v>
      </c>
      <c r="DR60" s="49">
        <v>0.60989010989011005</v>
      </c>
      <c r="DS60" s="49">
        <v>1.5806451612903201</v>
      </c>
      <c r="DT60" s="49">
        <v>1.54838709677419</v>
      </c>
      <c r="DU60" s="49">
        <v>1.54838709677419</v>
      </c>
      <c r="DV60" s="49">
        <v>1.54838709677419</v>
      </c>
      <c r="DW60" s="49">
        <v>1.47272727272727</v>
      </c>
      <c r="DX60" s="49">
        <v>1.47272727272727</v>
      </c>
      <c r="DY60" s="49">
        <v>1.89393939393939</v>
      </c>
      <c r="DZ60" s="49">
        <v>1.9242424242424201</v>
      </c>
      <c r="EA60" s="49">
        <v>53.0688039687114</v>
      </c>
      <c r="EB60" s="49">
        <v>10.328421399291599</v>
      </c>
      <c r="EC60" s="49">
        <v>4.5924649696213704</v>
      </c>
      <c r="ED60" s="49">
        <v>3.2458797432419901</v>
      </c>
      <c r="EE60" s="49">
        <v>262.98361859000102</v>
      </c>
      <c r="EF60" s="49">
        <v>44.676821704209303</v>
      </c>
      <c r="EG60" s="49">
        <v>9.2123974319631898</v>
      </c>
      <c r="EH60" s="49">
        <v>4.0628258332569196</v>
      </c>
      <c r="EI60" s="49">
        <v>2.9211313862039301</v>
      </c>
      <c r="EJ60" s="49">
        <v>243.59413323617599</v>
      </c>
      <c r="EK60" s="49">
        <v>0.20179509375238799</v>
      </c>
      <c r="EL60" s="49">
        <v>3.9274010505551203E-2</v>
      </c>
      <c r="EM60" s="49">
        <v>1.7462931699868199E-2</v>
      </c>
      <c r="EN60" s="49">
        <v>1.23425168481783E-2</v>
      </c>
      <c r="EO60" s="49">
        <v>0.183406805043589</v>
      </c>
      <c r="EP60" s="49">
        <v>3.7818634256808398E-2</v>
      </c>
      <c r="EQ60" s="49">
        <v>1.66786686496995E-2</v>
      </c>
      <c r="ER60" s="49">
        <v>1.1991796959131801E-2</v>
      </c>
    </row>
    <row r="61" spans="1:148" ht="28" customHeight="1">
      <c r="A61" s="9">
        <v>58</v>
      </c>
      <c r="B61" s="9">
        <f t="shared" si="3"/>
        <v>60</v>
      </c>
      <c r="C61">
        <v>60</v>
      </c>
      <c r="D61" s="9" t="s">
        <v>46</v>
      </c>
      <c r="E61" s="9">
        <v>67191969</v>
      </c>
      <c r="F61" s="37">
        <v>34</v>
      </c>
      <c r="G61" s="20">
        <v>3</v>
      </c>
      <c r="H61" s="20" t="s">
        <v>47</v>
      </c>
      <c r="I61" s="20">
        <f t="shared" si="4"/>
        <v>19</v>
      </c>
      <c r="J61" s="20" t="s">
        <v>541</v>
      </c>
      <c r="K61" s="9">
        <v>1</v>
      </c>
      <c r="L61" s="9">
        <v>1</v>
      </c>
      <c r="M61" s="20" t="s">
        <v>19</v>
      </c>
      <c r="N61" s="17">
        <v>2328</v>
      </c>
      <c r="O61" s="45">
        <v>0</v>
      </c>
      <c r="P61" s="17">
        <v>1</v>
      </c>
      <c r="Q61" s="17">
        <v>1</v>
      </c>
      <c r="R61" s="18">
        <v>45540</v>
      </c>
      <c r="S61" s="9">
        <v>2</v>
      </c>
      <c r="T61" s="9">
        <v>0</v>
      </c>
      <c r="U61" s="9">
        <v>7</v>
      </c>
      <c r="V61" s="9">
        <v>7</v>
      </c>
      <c r="W61" s="9">
        <v>10</v>
      </c>
      <c r="X61" s="9">
        <v>4</v>
      </c>
      <c r="Y61" s="9">
        <v>8</v>
      </c>
      <c r="Z61" s="9">
        <v>12</v>
      </c>
      <c r="AA61" s="9">
        <v>1</v>
      </c>
      <c r="AB61" s="9">
        <v>1</v>
      </c>
      <c r="AC61" s="9">
        <v>10</v>
      </c>
      <c r="AD61" s="9">
        <v>10</v>
      </c>
      <c r="AE61" s="9">
        <v>1</v>
      </c>
      <c r="AF61" s="9">
        <v>2</v>
      </c>
      <c r="AG61" s="9">
        <v>2</v>
      </c>
      <c r="AH61" s="9">
        <v>2</v>
      </c>
      <c r="AI61" s="9">
        <v>1</v>
      </c>
      <c r="AJ61" s="9">
        <v>1</v>
      </c>
      <c r="AK61" s="9">
        <v>1</v>
      </c>
      <c r="AL61" s="9">
        <v>32</v>
      </c>
      <c r="AM61" s="9">
        <v>2</v>
      </c>
      <c r="AN61" s="9">
        <v>1</v>
      </c>
      <c r="AO61" s="9">
        <v>1</v>
      </c>
      <c r="AP61" s="31" t="s">
        <v>412</v>
      </c>
      <c r="AR61" s="9" t="s">
        <v>199</v>
      </c>
      <c r="AS61" s="9">
        <v>1</v>
      </c>
      <c r="AT61" s="9">
        <v>1</v>
      </c>
      <c r="AU61" s="9">
        <v>1</v>
      </c>
      <c r="AV61" s="9">
        <v>36</v>
      </c>
      <c r="AW61" s="9">
        <v>5</v>
      </c>
      <c r="AX61" s="37">
        <f t="shared" si="5"/>
        <v>36.714285714285715</v>
      </c>
      <c r="AY61" s="9">
        <v>2300</v>
      </c>
      <c r="AZ61" s="9">
        <v>3</v>
      </c>
      <c r="BA61" s="9">
        <v>4</v>
      </c>
      <c r="BB61" s="9">
        <v>47</v>
      </c>
      <c r="BC61" s="9">
        <v>4</v>
      </c>
      <c r="BD61" s="9">
        <v>32</v>
      </c>
      <c r="BE61" s="9">
        <v>4</v>
      </c>
      <c r="BF61" s="9">
        <v>2530</v>
      </c>
      <c r="BG61" s="9">
        <v>3</v>
      </c>
      <c r="BH61" s="9">
        <v>48</v>
      </c>
      <c r="BI61" s="9">
        <v>4</v>
      </c>
      <c r="BJ61" s="9">
        <v>33</v>
      </c>
      <c r="BK61" s="9">
        <v>4</v>
      </c>
      <c r="BL61" s="9">
        <v>1</v>
      </c>
      <c r="BN61" s="9">
        <v>1</v>
      </c>
      <c r="BP61" s="9">
        <v>1</v>
      </c>
      <c r="BR61" s="9">
        <v>1</v>
      </c>
      <c r="BS61" s="9">
        <v>1</v>
      </c>
      <c r="BT61" s="42">
        <v>45533</v>
      </c>
      <c r="BU61" s="32">
        <v>45553</v>
      </c>
      <c r="BV61" s="9">
        <v>1</v>
      </c>
      <c r="BW61" s="9">
        <v>1</v>
      </c>
      <c r="BX61" s="9">
        <v>0</v>
      </c>
      <c r="BY61" s="9">
        <v>1</v>
      </c>
      <c r="BZ61" s="9">
        <v>0</v>
      </c>
      <c r="CA61" s="9">
        <v>1</v>
      </c>
      <c r="CB61" s="18">
        <v>45533</v>
      </c>
      <c r="CC61" s="18">
        <v>45539</v>
      </c>
      <c r="CD61" s="9">
        <v>7</v>
      </c>
      <c r="CE61" s="49">
        <v>0.25218597405641802</v>
      </c>
      <c r="CF61" s="49">
        <v>0.238529959243103</v>
      </c>
      <c r="CG61" s="49">
        <v>0.24170925455237399</v>
      </c>
      <c r="CH61" s="49">
        <v>0.227170436295724</v>
      </c>
      <c r="CI61" s="49">
        <v>0.45712042809623898</v>
      </c>
      <c r="CJ61" s="49">
        <v>0.424441551983058</v>
      </c>
      <c r="CK61" s="49">
        <v>0.360017609485205</v>
      </c>
      <c r="CL61" s="49">
        <v>0.38870629998661199</v>
      </c>
      <c r="CM61" s="49">
        <v>0.38812331221400298</v>
      </c>
      <c r="CN61" s="49">
        <v>0.36329250913149003</v>
      </c>
      <c r="CO61" s="49">
        <v>0.36570983204002</v>
      </c>
      <c r="CP61" s="49">
        <v>0.34444337494462302</v>
      </c>
      <c r="CQ61" s="49">
        <v>0.52688931695225505</v>
      </c>
      <c r="CR61" s="49">
        <v>0.535272114860599</v>
      </c>
      <c r="CS61" s="49">
        <v>0.52516223447862698</v>
      </c>
      <c r="CT61" s="49">
        <v>0.491244172194504</v>
      </c>
      <c r="CU61" s="49">
        <v>0.598518518518519</v>
      </c>
      <c r="CV61" s="49">
        <v>0.598518518518519</v>
      </c>
      <c r="CW61" s="49">
        <v>0.624074074074074</v>
      </c>
      <c r="CX61" s="49">
        <v>0.598518518518519</v>
      </c>
      <c r="CY61" s="49">
        <v>0.71717171717171702</v>
      </c>
      <c r="CZ61" s="49">
        <v>0.71464646464646497</v>
      </c>
      <c r="DA61" s="49">
        <v>0.78181818181818197</v>
      </c>
      <c r="DB61" s="49">
        <v>0.71464646464646497</v>
      </c>
      <c r="DC61" s="49">
        <v>0.52018977056328697</v>
      </c>
      <c r="DD61" s="49">
        <v>0.52018977056328697</v>
      </c>
      <c r="DE61" s="49">
        <v>0.52999797029678397</v>
      </c>
      <c r="DF61" s="49">
        <v>0.52018977056328697</v>
      </c>
      <c r="DG61" s="49">
        <v>0.68857734399927195</v>
      </c>
      <c r="DH61" s="49">
        <v>0.76220703839972204</v>
      </c>
      <c r="DI61" s="49">
        <v>0.81149914359541697</v>
      </c>
      <c r="DJ61" s="49">
        <v>0.761451362670726</v>
      </c>
      <c r="DK61" s="49">
        <v>0.47948717948718</v>
      </c>
      <c r="DL61" s="49">
        <v>0.47948717948718</v>
      </c>
      <c r="DM61" s="49">
        <v>0.497435897435897</v>
      </c>
      <c r="DN61" s="49">
        <v>0.47948717948718</v>
      </c>
      <c r="DO61" s="49">
        <v>0.58876678876678901</v>
      </c>
      <c r="DP61" s="49">
        <v>0.64371184371184398</v>
      </c>
      <c r="DQ61" s="49">
        <v>0.68534798534798502</v>
      </c>
      <c r="DR61" s="49">
        <v>0.64004884004884</v>
      </c>
      <c r="DS61" s="49">
        <v>2.24444444444444</v>
      </c>
      <c r="DT61" s="49">
        <v>2.24444444444444</v>
      </c>
      <c r="DU61" s="49">
        <v>2</v>
      </c>
      <c r="DV61" s="49">
        <v>2.24444444444444</v>
      </c>
      <c r="DW61" s="49">
        <v>1.63636363636364</v>
      </c>
      <c r="DX61" s="49">
        <v>1.65151515151515</v>
      </c>
      <c r="DY61" s="49">
        <v>1.4363636363636401</v>
      </c>
      <c r="DZ61" s="49">
        <v>1.65151515151515</v>
      </c>
      <c r="EA61" s="49">
        <v>34.6268503797981</v>
      </c>
      <c r="EB61" s="49">
        <v>8.65618607587054</v>
      </c>
      <c r="EC61" s="49">
        <v>4.08361874405868</v>
      </c>
      <c r="ED61" s="49">
        <v>2.4166414075229801</v>
      </c>
      <c r="EE61" s="49">
        <v>243.56331699862301</v>
      </c>
      <c r="EF61" s="49">
        <v>65.915545272231597</v>
      </c>
      <c r="EG61" s="49">
        <v>8.5613527209533604</v>
      </c>
      <c r="EH61" s="49">
        <v>3.35514396428868</v>
      </c>
      <c r="EI61" s="49">
        <v>2.4164416609727701</v>
      </c>
      <c r="EJ61" s="49">
        <v>345.595827953477</v>
      </c>
      <c r="EK61" s="49">
        <v>0.14216775664947101</v>
      </c>
      <c r="EL61" s="49">
        <v>3.5539777428468297E-2</v>
      </c>
      <c r="EM61" s="49">
        <v>1.6766148508651501E-2</v>
      </c>
      <c r="EN61" s="49">
        <v>9.9220253579344903E-3</v>
      </c>
      <c r="EO61" s="49">
        <v>0.19073015337761801</v>
      </c>
      <c r="EP61" s="49">
        <v>2.47727316954355E-2</v>
      </c>
      <c r="EQ61" s="49">
        <v>9.7082883903920909E-3</v>
      </c>
      <c r="ER61" s="49">
        <v>6.9921031028709899E-3</v>
      </c>
    </row>
    <row r="62" spans="1:148" ht="28" customHeight="1">
      <c r="A62" s="9">
        <v>21</v>
      </c>
      <c r="B62" s="9">
        <f t="shared" si="3"/>
        <v>61</v>
      </c>
      <c r="C62">
        <v>61</v>
      </c>
      <c r="D62" s="20" t="s">
        <v>106</v>
      </c>
      <c r="E62" s="20">
        <v>67095023</v>
      </c>
      <c r="F62" s="37">
        <v>28.857142857142858</v>
      </c>
      <c r="G62" s="9">
        <v>2</v>
      </c>
      <c r="H62" s="23" t="s">
        <v>7</v>
      </c>
      <c r="I62" s="24">
        <f t="shared" si="4"/>
        <v>54</v>
      </c>
      <c r="J62" s="25" t="s">
        <v>41</v>
      </c>
      <c r="K62" s="9">
        <v>1</v>
      </c>
      <c r="L62" s="9">
        <v>1</v>
      </c>
      <c r="M62" s="23" t="s">
        <v>59</v>
      </c>
      <c r="N62" s="17">
        <v>10352</v>
      </c>
      <c r="O62" s="45">
        <v>7.7279752704791344E-2</v>
      </c>
      <c r="P62" s="17">
        <v>1</v>
      </c>
      <c r="Q62" s="17">
        <v>1</v>
      </c>
      <c r="R62" s="18">
        <v>45497</v>
      </c>
      <c r="S62" s="9">
        <v>2</v>
      </c>
      <c r="T62" s="9">
        <v>6</v>
      </c>
      <c r="U62" s="9">
        <v>42</v>
      </c>
      <c r="V62" s="9">
        <v>48</v>
      </c>
      <c r="W62" s="9">
        <v>23</v>
      </c>
      <c r="X62" s="9">
        <v>17</v>
      </c>
      <c r="Y62" s="9">
        <v>14</v>
      </c>
      <c r="Z62" s="9">
        <v>21</v>
      </c>
      <c r="AA62" s="9">
        <v>1</v>
      </c>
      <c r="AB62" s="9">
        <v>1</v>
      </c>
      <c r="AC62" s="9">
        <v>7</v>
      </c>
      <c r="AD62" s="9">
        <v>9</v>
      </c>
      <c r="AE62" s="9">
        <v>1</v>
      </c>
      <c r="AF62" s="9">
        <v>2</v>
      </c>
      <c r="AG62" s="9">
        <v>1</v>
      </c>
      <c r="AH62" s="9">
        <v>2</v>
      </c>
      <c r="AI62" s="9">
        <v>1</v>
      </c>
      <c r="AJ62" s="9">
        <v>1</v>
      </c>
      <c r="AK62" s="9">
        <v>1</v>
      </c>
      <c r="AL62" s="9">
        <v>33</v>
      </c>
      <c r="AM62" s="9">
        <v>3</v>
      </c>
      <c r="AN62" s="9">
        <v>1</v>
      </c>
      <c r="AO62" s="9" t="s">
        <v>330</v>
      </c>
      <c r="AP62" s="31" t="s">
        <v>368</v>
      </c>
      <c r="AQ62" s="9" t="s">
        <v>161</v>
      </c>
      <c r="AR62" s="9" t="s">
        <v>160</v>
      </c>
      <c r="AS62" s="9">
        <v>1</v>
      </c>
      <c r="AT62" s="9">
        <v>2</v>
      </c>
      <c r="AU62" s="9">
        <v>1</v>
      </c>
      <c r="AV62" s="9">
        <v>38</v>
      </c>
      <c r="AW62" s="9">
        <v>3</v>
      </c>
      <c r="AX62" s="37">
        <f t="shared" si="5"/>
        <v>38.428571428571431</v>
      </c>
      <c r="AY62" s="9">
        <v>1350</v>
      </c>
      <c r="AZ62" s="9">
        <v>2</v>
      </c>
      <c r="BA62" s="9">
        <v>4</v>
      </c>
      <c r="BB62" s="9">
        <v>40</v>
      </c>
      <c r="BC62" s="9">
        <v>4</v>
      </c>
      <c r="BD62" s="9">
        <v>27</v>
      </c>
      <c r="BE62" s="9">
        <v>4</v>
      </c>
      <c r="BF62" s="9">
        <v>2370</v>
      </c>
      <c r="BG62" s="9">
        <v>1</v>
      </c>
      <c r="BH62" s="9">
        <v>48</v>
      </c>
      <c r="BI62" s="9">
        <v>3</v>
      </c>
      <c r="BJ62" s="9">
        <v>32</v>
      </c>
      <c r="BK62" s="9">
        <v>2</v>
      </c>
      <c r="BL62" s="9">
        <v>1</v>
      </c>
      <c r="BN62" s="9">
        <v>2</v>
      </c>
      <c r="BO62" s="9">
        <v>3</v>
      </c>
      <c r="BP62" s="9">
        <v>1</v>
      </c>
      <c r="BR62" s="9">
        <v>2</v>
      </c>
      <c r="BS62" s="9">
        <v>2</v>
      </c>
      <c r="BT62" s="42">
        <v>45441</v>
      </c>
      <c r="BU62" s="18">
        <v>45509</v>
      </c>
      <c r="BV62" s="9">
        <v>1</v>
      </c>
      <c r="BW62" s="9">
        <v>1</v>
      </c>
      <c r="BX62" s="9">
        <v>0</v>
      </c>
      <c r="BY62" s="9">
        <v>2</v>
      </c>
      <c r="BZ62" s="9">
        <v>72</v>
      </c>
      <c r="CA62" s="9">
        <v>1</v>
      </c>
      <c r="CB62" s="18">
        <v>45443</v>
      </c>
      <c r="CC62" s="18">
        <v>45478</v>
      </c>
      <c r="CD62" s="9">
        <v>36</v>
      </c>
      <c r="CE62" s="49">
        <v>0.28563834415744799</v>
      </c>
      <c r="CF62" s="49">
        <v>0.27171685336600199</v>
      </c>
      <c r="CG62" s="49">
        <v>0.26442242340155903</v>
      </c>
      <c r="CH62" s="49">
        <v>0.25756216439164598</v>
      </c>
      <c r="CI62" s="49">
        <v>0.39742825142683602</v>
      </c>
      <c r="CJ62" s="49">
        <v>0.37562983028157698</v>
      </c>
      <c r="CK62" s="49">
        <v>0.40385831794691801</v>
      </c>
      <c r="CL62" s="49">
        <v>0.40516637903216401</v>
      </c>
      <c r="CM62" s="49">
        <v>0.39713189692642198</v>
      </c>
      <c r="CN62" s="49">
        <v>0.25558600774136803</v>
      </c>
      <c r="CO62" s="49">
        <v>0.246600122326606</v>
      </c>
      <c r="CP62" s="49">
        <v>0.32638461170282501</v>
      </c>
      <c r="CQ62" s="49">
        <v>0.47932931274429003</v>
      </c>
      <c r="CR62" s="49">
        <v>0.48203372671517097</v>
      </c>
      <c r="CS62" s="49">
        <v>0.52466868828684299</v>
      </c>
      <c r="CT62" s="49">
        <v>0.53100834371468297</v>
      </c>
      <c r="CU62" s="49">
        <v>0.49018759018759001</v>
      </c>
      <c r="CV62" s="49">
        <v>0.50090187590187596</v>
      </c>
      <c r="CW62" s="49">
        <v>0.50090187590187596</v>
      </c>
      <c r="CX62" s="49">
        <v>0.50505050505050497</v>
      </c>
      <c r="CY62" s="49">
        <v>0.69823232323232298</v>
      </c>
      <c r="CZ62" s="49">
        <v>0.70454545454545403</v>
      </c>
      <c r="DA62" s="49">
        <v>0.66666666666666696</v>
      </c>
      <c r="DB62" s="49">
        <v>0.66666666666666696</v>
      </c>
      <c r="DC62" s="49">
        <v>0.57916412953764596</v>
      </c>
      <c r="DD62" s="49">
        <v>0.391984642358159</v>
      </c>
      <c r="DE62" s="49">
        <v>0.391984642358159</v>
      </c>
      <c r="DF62" s="49">
        <v>0.54558850874216303</v>
      </c>
      <c r="DG62" s="49">
        <v>0.70600829467689996</v>
      </c>
      <c r="DH62" s="49">
        <v>0.75632543336121505</v>
      </c>
      <c r="DI62" s="49">
        <v>0.85165210383171597</v>
      </c>
      <c r="DJ62" s="49">
        <v>0.86598348319623297</v>
      </c>
      <c r="DK62" s="49">
        <v>0.53846153846153799</v>
      </c>
      <c r="DL62" s="49">
        <v>0.35128205128205098</v>
      </c>
      <c r="DM62" s="49">
        <v>0.35128205128205098</v>
      </c>
      <c r="DN62" s="49">
        <v>0.47435897435897401</v>
      </c>
      <c r="DO62" s="49">
        <v>0.55000000000000004</v>
      </c>
      <c r="DP62" s="49">
        <v>0.61336996336996297</v>
      </c>
      <c r="DQ62" s="49">
        <v>0.67442002442002502</v>
      </c>
      <c r="DR62" s="49">
        <v>0.74584859584859597</v>
      </c>
      <c r="DS62" s="49">
        <v>2.9696969696969702</v>
      </c>
      <c r="DT62" s="49">
        <v>2.7878787878787898</v>
      </c>
      <c r="DU62" s="49">
        <v>2.7878787878787898</v>
      </c>
      <c r="DV62" s="49">
        <v>2.7121212121212102</v>
      </c>
      <c r="DW62" s="49">
        <v>1.77272727272727</v>
      </c>
      <c r="DX62" s="49">
        <v>1.72727272727273</v>
      </c>
      <c r="DY62" s="49">
        <v>1.8076923076923099</v>
      </c>
      <c r="DZ62" s="49">
        <v>1.8076923076923099</v>
      </c>
      <c r="EA62" s="49">
        <v>19.024136175474599</v>
      </c>
      <c r="EB62" s="49">
        <v>5.3517072790374902</v>
      </c>
      <c r="EC62" s="49">
        <v>2.8519239899110702</v>
      </c>
      <c r="ED62" s="49">
        <v>1.3569540608057999</v>
      </c>
      <c r="EE62" s="49">
        <v>124.724291073503</v>
      </c>
      <c r="EF62" s="49">
        <v>37.480780433597502</v>
      </c>
      <c r="EG62" s="49">
        <v>8.7718145940603698</v>
      </c>
      <c r="EH62" s="49">
        <v>3.2846918576045501</v>
      </c>
      <c r="EI62" s="49">
        <v>2.1655086128482202</v>
      </c>
      <c r="EJ62" s="49">
        <v>204.02558328295899</v>
      </c>
      <c r="EK62" s="49">
        <v>0.15252951940422901</v>
      </c>
      <c r="EL62" s="49">
        <v>4.2908299842599099E-2</v>
      </c>
      <c r="EM62" s="49">
        <v>2.2865826418931999E-2</v>
      </c>
      <c r="EN62" s="49">
        <v>1.0879629373929301E-2</v>
      </c>
      <c r="EO62" s="49">
        <v>0.183706277568221</v>
      </c>
      <c r="EP62" s="49">
        <v>4.2993699382762797E-2</v>
      </c>
      <c r="EQ62" s="49">
        <v>1.6099411675491102E-2</v>
      </c>
      <c r="ER62" s="49">
        <v>1.0613907226746801E-2</v>
      </c>
    </row>
    <row r="63" spans="1:148" ht="28" customHeight="1">
      <c r="A63" s="9">
        <v>52</v>
      </c>
      <c r="B63" s="9">
        <f t="shared" si="3"/>
        <v>62</v>
      </c>
      <c r="C63">
        <v>62</v>
      </c>
      <c r="D63" s="20" t="s">
        <v>121</v>
      </c>
      <c r="E63" s="20">
        <v>67114181</v>
      </c>
      <c r="F63" s="37">
        <v>33.142857142857146</v>
      </c>
      <c r="G63" s="20">
        <v>3</v>
      </c>
      <c r="H63" s="23" t="s">
        <v>76</v>
      </c>
      <c r="I63" s="24">
        <f t="shared" si="4"/>
        <v>33</v>
      </c>
      <c r="J63" s="25" t="s">
        <v>528</v>
      </c>
      <c r="K63" s="9">
        <v>1</v>
      </c>
      <c r="L63" s="9">
        <v>1</v>
      </c>
      <c r="M63" s="23" t="s">
        <v>75</v>
      </c>
      <c r="N63" s="17">
        <v>6272</v>
      </c>
      <c r="O63" s="45">
        <v>0</v>
      </c>
      <c r="P63" s="17">
        <v>1</v>
      </c>
      <c r="Q63" s="17">
        <v>1</v>
      </c>
      <c r="R63" s="18">
        <v>45496</v>
      </c>
      <c r="S63" s="9">
        <v>2</v>
      </c>
      <c r="T63" s="9">
        <v>0</v>
      </c>
      <c r="U63" s="9">
        <v>8</v>
      </c>
      <c r="V63" s="9">
        <v>8</v>
      </c>
      <c r="W63" s="9">
        <v>6</v>
      </c>
      <c r="X63" s="9">
        <v>0</v>
      </c>
      <c r="Y63" s="9">
        <v>14</v>
      </c>
      <c r="Z63" s="9">
        <v>10</v>
      </c>
      <c r="AA63" s="9">
        <v>2</v>
      </c>
      <c r="AB63" s="9">
        <v>1</v>
      </c>
      <c r="AC63" s="9">
        <v>8</v>
      </c>
      <c r="AD63" s="9">
        <v>10</v>
      </c>
      <c r="AE63" s="9">
        <v>1</v>
      </c>
      <c r="AF63" s="9">
        <v>2</v>
      </c>
      <c r="AG63" s="9">
        <v>1</v>
      </c>
      <c r="AH63" s="9">
        <v>2</v>
      </c>
      <c r="AI63" s="9">
        <v>1</v>
      </c>
      <c r="AJ63" s="9">
        <v>1</v>
      </c>
      <c r="AK63" s="9">
        <v>1</v>
      </c>
      <c r="AL63" s="9">
        <v>37</v>
      </c>
      <c r="AM63" s="9">
        <v>2</v>
      </c>
      <c r="AN63" s="9">
        <v>1</v>
      </c>
      <c r="AO63" s="17" t="s">
        <v>402</v>
      </c>
      <c r="AP63" s="31" t="s">
        <v>403</v>
      </c>
      <c r="AQ63" s="9" t="s">
        <v>123</v>
      </c>
      <c r="AR63" s="9" t="s">
        <v>122</v>
      </c>
      <c r="AS63" s="9">
        <v>1</v>
      </c>
      <c r="AT63" s="9">
        <v>2</v>
      </c>
      <c r="AU63" s="9">
        <v>1</v>
      </c>
      <c r="AV63" s="9">
        <v>38</v>
      </c>
      <c r="AW63" s="9">
        <v>1</v>
      </c>
      <c r="AX63" s="37">
        <f t="shared" si="5"/>
        <v>38.142857142857146</v>
      </c>
      <c r="AY63" s="9">
        <v>1820</v>
      </c>
      <c r="AZ63" s="9">
        <v>2</v>
      </c>
      <c r="BA63" s="9">
        <v>3</v>
      </c>
      <c r="BB63" s="9">
        <v>42</v>
      </c>
      <c r="BC63" s="9">
        <v>3</v>
      </c>
      <c r="BF63" s="9">
        <v>2280</v>
      </c>
      <c r="BG63" s="9">
        <v>2</v>
      </c>
      <c r="BH63" s="9">
        <v>46</v>
      </c>
      <c r="BI63" s="9">
        <v>3</v>
      </c>
      <c r="BJ63" s="9">
        <v>33</v>
      </c>
      <c r="BK63" s="9">
        <v>3</v>
      </c>
      <c r="BL63" s="9">
        <v>1</v>
      </c>
      <c r="BN63" s="9">
        <v>1</v>
      </c>
      <c r="BP63" s="9">
        <v>1</v>
      </c>
      <c r="BR63" s="9">
        <v>2</v>
      </c>
      <c r="BS63" s="9">
        <v>1</v>
      </c>
      <c r="BT63" s="42">
        <v>45463</v>
      </c>
      <c r="BU63" s="32">
        <v>45498</v>
      </c>
      <c r="BV63" s="9">
        <v>1</v>
      </c>
      <c r="BW63" s="9">
        <v>1</v>
      </c>
      <c r="BX63" s="9">
        <v>0</v>
      </c>
      <c r="BY63" s="9">
        <v>1</v>
      </c>
      <c r="BZ63" s="9">
        <v>0</v>
      </c>
      <c r="CA63" s="9">
        <v>1</v>
      </c>
      <c r="CB63" s="18">
        <v>45464</v>
      </c>
      <c r="CC63" s="18">
        <v>45478</v>
      </c>
      <c r="CD63" s="9">
        <v>15</v>
      </c>
      <c r="CE63" s="49">
        <v>0.232883255672414</v>
      </c>
      <c r="CF63" s="49">
        <v>0.26508093669278499</v>
      </c>
      <c r="CG63" s="49">
        <v>0.24752522948134001</v>
      </c>
      <c r="CH63" s="49">
        <v>0.28169797438184402</v>
      </c>
      <c r="CI63" s="49">
        <v>0.40576302034471901</v>
      </c>
      <c r="CJ63" s="49">
        <v>0.35907107993232701</v>
      </c>
      <c r="CK63" s="49">
        <v>0.35637158372348299</v>
      </c>
      <c r="CL63" s="49">
        <v>0.36862240512380001</v>
      </c>
      <c r="CM63" s="49">
        <v>0.37300740496781698</v>
      </c>
      <c r="CN63" s="49">
        <v>0.267532942920999</v>
      </c>
      <c r="CO63" s="49">
        <v>0.38930271668938898</v>
      </c>
      <c r="CP63" s="49">
        <v>0.29198984571736297</v>
      </c>
      <c r="CQ63" s="49">
        <v>0.46486271805660201</v>
      </c>
      <c r="CR63" s="49">
        <v>0.46632543256192699</v>
      </c>
      <c r="CS63" s="49">
        <v>0.52544465483797698</v>
      </c>
      <c r="CT63" s="49">
        <v>0.546061076241666</v>
      </c>
      <c r="CU63" s="49">
        <v>0.68918918918918903</v>
      </c>
      <c r="CV63" s="49">
        <v>0.50883838383838398</v>
      </c>
      <c r="CW63" s="49">
        <v>0.55393939393939395</v>
      </c>
      <c r="CX63" s="49">
        <v>0.51515151515151503</v>
      </c>
      <c r="CY63" s="49">
        <v>0.62115384615384595</v>
      </c>
      <c r="CZ63" s="49">
        <v>0.63440170940170904</v>
      </c>
      <c r="DA63" s="49">
        <v>0.70454545454545503</v>
      </c>
      <c r="DB63" s="49">
        <v>0.70454545454545503</v>
      </c>
      <c r="DC63" s="49">
        <v>0.51978537820163695</v>
      </c>
      <c r="DD63" s="49">
        <v>0.40903569426109498</v>
      </c>
      <c r="DE63" s="49">
        <v>0.58693719971733704</v>
      </c>
      <c r="DF63" s="49">
        <v>0.44102564102564101</v>
      </c>
      <c r="DG63" s="49">
        <v>0.70335703952044604</v>
      </c>
      <c r="DH63" s="49">
        <v>0.80071838786089999</v>
      </c>
      <c r="DI63" s="49">
        <v>0.87025080981341896</v>
      </c>
      <c r="DJ63" s="49">
        <v>0.87566933350307197</v>
      </c>
      <c r="DK63" s="49">
        <v>0.46153846153846201</v>
      </c>
      <c r="DL63" s="49">
        <v>0.29230769230769199</v>
      </c>
      <c r="DM63" s="49">
        <v>0.55641025641025599</v>
      </c>
      <c r="DN63" s="49">
        <v>0.44102564102564101</v>
      </c>
      <c r="DO63" s="49">
        <v>0.60769230769230798</v>
      </c>
      <c r="DP63" s="49">
        <v>0.72857142857142898</v>
      </c>
      <c r="DQ63" s="49">
        <v>0.68260073260073295</v>
      </c>
      <c r="DR63" s="49">
        <v>0.71153846153846201</v>
      </c>
      <c r="DS63" s="49">
        <v>1.72972972972973</v>
      </c>
      <c r="DT63" s="49">
        <v>2.6969696969696999</v>
      </c>
      <c r="DU63" s="49">
        <v>2.4</v>
      </c>
      <c r="DV63" s="49">
        <v>2.5909090909090899</v>
      </c>
      <c r="DW63" s="49">
        <v>2.2179487179487198</v>
      </c>
      <c r="DX63" s="49">
        <v>2.0641025641025599</v>
      </c>
      <c r="DY63" s="49">
        <v>1.72727272727273</v>
      </c>
      <c r="DZ63" s="49">
        <v>1.72727272727273</v>
      </c>
      <c r="EA63" s="49">
        <v>54.4629755280097</v>
      </c>
      <c r="EB63" s="49">
        <v>17.085391944993599</v>
      </c>
      <c r="EC63" s="49">
        <v>6.2242969945904099</v>
      </c>
      <c r="ED63" s="49">
        <v>3.1886496175464298</v>
      </c>
      <c r="EE63" s="49">
        <v>257.81842789267898</v>
      </c>
      <c r="EF63" s="49">
        <v>70.7007444951483</v>
      </c>
      <c r="EG63" s="49">
        <v>18.070438226382301</v>
      </c>
      <c r="EH63" s="49">
        <v>6.6869690585118002</v>
      </c>
      <c r="EI63" s="49">
        <v>3.4438843244117101</v>
      </c>
      <c r="EJ63" s="49">
        <v>283.63037826494701</v>
      </c>
      <c r="EK63" s="49">
        <v>0.21124547214553999</v>
      </c>
      <c r="EL63" s="49">
        <v>6.6269087452917499E-2</v>
      </c>
      <c r="EM63" s="49">
        <v>2.4142172634693801E-2</v>
      </c>
      <c r="EN63" s="49">
        <v>1.23678111126865E-2</v>
      </c>
      <c r="EO63" s="49">
        <v>0.24927070551344399</v>
      </c>
      <c r="EP63" s="49">
        <v>6.3711222813736298E-2</v>
      </c>
      <c r="EQ63" s="49">
        <v>2.3576349964407901E-2</v>
      </c>
      <c r="ER63" s="49">
        <v>1.2142156088776499E-2</v>
      </c>
    </row>
    <row r="64" spans="1:148" ht="28" customHeight="1">
      <c r="A64" s="17">
        <v>71</v>
      </c>
      <c r="B64" s="9">
        <f t="shared" si="3"/>
        <v>63</v>
      </c>
      <c r="C64">
        <v>63</v>
      </c>
      <c r="D64" s="9" t="s">
        <v>787</v>
      </c>
      <c r="E64" s="9">
        <v>66992701</v>
      </c>
      <c r="F64" s="37">
        <v>27.857142857142858</v>
      </c>
      <c r="G64" s="20">
        <v>1</v>
      </c>
      <c r="H64" s="22">
        <v>45401</v>
      </c>
      <c r="I64" s="20">
        <f t="shared" si="4"/>
        <v>71</v>
      </c>
      <c r="J64" s="28" t="s">
        <v>535</v>
      </c>
      <c r="K64" s="9">
        <v>1</v>
      </c>
      <c r="L64" s="9">
        <v>1</v>
      </c>
      <c r="M64" s="22">
        <v>45330</v>
      </c>
      <c r="N64" s="17">
        <v>47944</v>
      </c>
      <c r="O64" s="45">
        <v>0</v>
      </c>
      <c r="P64" s="17">
        <v>1</v>
      </c>
      <c r="Q64" s="17">
        <v>1</v>
      </c>
      <c r="R64" s="18">
        <v>45463</v>
      </c>
      <c r="S64" s="9">
        <v>2</v>
      </c>
      <c r="T64" s="9">
        <v>39</v>
      </c>
      <c r="U64" s="9">
        <v>48</v>
      </c>
      <c r="V64" s="9">
        <v>87</v>
      </c>
      <c r="W64" s="9">
        <v>5</v>
      </c>
      <c r="X64" s="9">
        <v>20</v>
      </c>
      <c r="Y64" s="9">
        <v>3</v>
      </c>
      <c r="Z64" s="9">
        <v>28</v>
      </c>
      <c r="AA64" s="9">
        <v>1</v>
      </c>
      <c r="AB64" s="9">
        <v>1</v>
      </c>
      <c r="AC64" s="9">
        <v>8</v>
      </c>
      <c r="AD64" s="9">
        <v>10</v>
      </c>
      <c r="AE64" s="9">
        <v>1</v>
      </c>
      <c r="AF64" s="9">
        <v>2</v>
      </c>
      <c r="AG64" s="9">
        <v>1</v>
      </c>
      <c r="AH64" s="9">
        <v>2</v>
      </c>
      <c r="AI64" s="9">
        <v>2</v>
      </c>
      <c r="AJ64" s="9">
        <v>1</v>
      </c>
      <c r="AK64" s="9">
        <v>1</v>
      </c>
      <c r="AL64" s="9">
        <v>27</v>
      </c>
      <c r="AM64" s="9">
        <v>2</v>
      </c>
      <c r="AN64" s="9">
        <v>1</v>
      </c>
      <c r="AO64" s="9" t="s">
        <v>465</v>
      </c>
      <c r="AP64" s="9" t="s">
        <v>466</v>
      </c>
      <c r="AQ64" s="9" t="s">
        <v>467</v>
      </c>
      <c r="AR64" s="9" t="s">
        <v>468</v>
      </c>
      <c r="AS64" s="9">
        <v>1</v>
      </c>
      <c r="AT64" s="9">
        <v>2</v>
      </c>
      <c r="AU64" s="9">
        <v>1</v>
      </c>
      <c r="AV64" s="9">
        <v>47</v>
      </c>
      <c r="AW64" s="9">
        <v>2</v>
      </c>
      <c r="AX64" s="37">
        <f t="shared" si="5"/>
        <v>47.285714285714285</v>
      </c>
      <c r="AY64" s="9">
        <v>1035</v>
      </c>
      <c r="AZ64" s="9">
        <v>2</v>
      </c>
      <c r="BA64" s="9">
        <v>3</v>
      </c>
      <c r="BB64" s="9">
        <v>35</v>
      </c>
      <c r="BC64" s="9">
        <v>3</v>
      </c>
      <c r="BD64" s="9">
        <v>24</v>
      </c>
      <c r="BE64" s="9">
        <v>3</v>
      </c>
      <c r="BF64" s="9">
        <v>4920</v>
      </c>
      <c r="BG64" s="9">
        <v>3</v>
      </c>
      <c r="BL64" s="9">
        <v>1</v>
      </c>
      <c r="BN64" s="9">
        <v>2</v>
      </c>
      <c r="BO64" s="9">
        <v>3</v>
      </c>
      <c r="BP64" s="9">
        <v>1</v>
      </c>
      <c r="BR64" s="9">
        <v>2</v>
      </c>
      <c r="BS64" s="9">
        <v>2</v>
      </c>
      <c r="BT64" s="18">
        <v>45330</v>
      </c>
      <c r="BU64" s="18">
        <v>45465</v>
      </c>
      <c r="BV64" s="9">
        <v>1</v>
      </c>
      <c r="BW64" s="9">
        <v>1</v>
      </c>
      <c r="BX64" s="9">
        <v>0</v>
      </c>
      <c r="BY64" s="9">
        <v>1</v>
      </c>
      <c r="BZ64" s="9">
        <v>0</v>
      </c>
      <c r="CA64" s="9">
        <v>1</v>
      </c>
      <c r="CB64" s="18">
        <v>45330</v>
      </c>
      <c r="CC64" s="18">
        <v>45376</v>
      </c>
      <c r="CD64" s="9">
        <v>47</v>
      </c>
      <c r="CE64" s="49">
        <v>0.34203467138170701</v>
      </c>
      <c r="CF64" s="49">
        <v>0.35872473488295697</v>
      </c>
      <c r="CG64" s="49">
        <v>0.35958203736753802</v>
      </c>
      <c r="CH64" s="49">
        <v>0.31700285514253401</v>
      </c>
      <c r="CI64" s="49">
        <v>0.56966331067334197</v>
      </c>
      <c r="CJ64" s="49">
        <v>0.52306746355508804</v>
      </c>
      <c r="CK64" s="49">
        <v>0.52114237233453697</v>
      </c>
      <c r="CL64" s="49">
        <v>0.46604678462045801</v>
      </c>
      <c r="CM64" s="49">
        <v>0.36005884097872398</v>
      </c>
      <c r="CN64" s="49">
        <v>0.27624680910433003</v>
      </c>
      <c r="CO64" s="49">
        <v>0.26804974791992298</v>
      </c>
      <c r="CP64" s="49">
        <v>0.23247552623597401</v>
      </c>
      <c r="CQ64" s="49">
        <v>0.53333146874239901</v>
      </c>
      <c r="CR64" s="49">
        <v>0.672405601530498</v>
      </c>
      <c r="CS64" s="49">
        <v>0.52982234857945698</v>
      </c>
      <c r="CT64" s="49">
        <v>0.54623130943687304</v>
      </c>
      <c r="CU64" s="49">
        <v>0.56904761904761902</v>
      </c>
      <c r="CV64" s="49">
        <v>0.52474747474747496</v>
      </c>
      <c r="CW64" s="49">
        <v>0.52853535353535397</v>
      </c>
      <c r="CX64" s="49">
        <v>0.57090909090909103</v>
      </c>
      <c r="CY64" s="49">
        <v>0.66025641025641002</v>
      </c>
      <c r="CZ64" s="49">
        <v>0.71969696969696995</v>
      </c>
      <c r="DA64" s="49">
        <v>0.71085858585858597</v>
      </c>
      <c r="DB64" s="49">
        <v>0.76969696969696999</v>
      </c>
      <c r="DC64" s="49">
        <v>0.42275387312738999</v>
      </c>
      <c r="DD64" s="49">
        <v>0.34184129958408499</v>
      </c>
      <c r="DE64" s="49">
        <v>0.33406822940439401</v>
      </c>
      <c r="DF64" s="49">
        <v>0.29666463696345002</v>
      </c>
      <c r="DG64" s="49">
        <v>0.60441007566673499</v>
      </c>
      <c r="DH64" s="49">
        <v>0.78072405435867398</v>
      </c>
      <c r="DI64" s="49">
        <v>0.60619843349118496</v>
      </c>
      <c r="DJ64" s="49">
        <v>0.63220470240122595</v>
      </c>
      <c r="DK64" s="49">
        <v>0.38205128205128203</v>
      </c>
      <c r="DL64" s="49">
        <v>0.31538461538461499</v>
      </c>
      <c r="DM64" s="49">
        <v>0.29743589743589699</v>
      </c>
      <c r="DN64" s="49">
        <v>0.264102564102564</v>
      </c>
      <c r="DO64" s="49">
        <v>0.52124542124542095</v>
      </c>
      <c r="DP64" s="49">
        <v>0.626556776556777</v>
      </c>
      <c r="DQ64" s="49">
        <v>0.53797313797313795</v>
      </c>
      <c r="DR64" s="49">
        <v>0.56538461538461504</v>
      </c>
      <c r="DS64" s="49">
        <v>2.2321428571428599</v>
      </c>
      <c r="DT64" s="49">
        <v>2.5</v>
      </c>
      <c r="DU64" s="49">
        <v>2.4696969696969702</v>
      </c>
      <c r="DV64" s="49">
        <v>2.25454545454545</v>
      </c>
      <c r="DW64" s="49">
        <v>1.84615384615385</v>
      </c>
      <c r="DX64" s="49">
        <v>1.62121212121212</v>
      </c>
      <c r="DY64" s="49">
        <v>1.6818181818181801</v>
      </c>
      <c r="DZ64" s="49">
        <v>1.5090909090909099</v>
      </c>
      <c r="EA64" s="49">
        <v>48.376615998818203</v>
      </c>
      <c r="EB64" s="49">
        <v>25.5764089503494</v>
      </c>
      <c r="EC64" s="49">
        <v>7.7127944424045101</v>
      </c>
      <c r="ED64" s="49">
        <v>3.0523908616998701</v>
      </c>
      <c r="EE64" s="49">
        <v>213.972804278447</v>
      </c>
      <c r="EF64" s="49">
        <v>105.097164901651</v>
      </c>
      <c r="EG64" s="49">
        <v>57.2613744157536</v>
      </c>
      <c r="EH64" s="49">
        <v>17.774323392758198</v>
      </c>
      <c r="EI64" s="49">
        <v>7.2902208407319904</v>
      </c>
      <c r="EJ64" s="49">
        <v>434.388979987884</v>
      </c>
      <c r="EK64" s="49">
        <v>0.22608768512406299</v>
      </c>
      <c r="EL64" s="49">
        <v>0.119531120025264</v>
      </c>
      <c r="EM64" s="49">
        <v>3.6045676311124597E-2</v>
      </c>
      <c r="EN64" s="49">
        <v>1.42653215766978E-2</v>
      </c>
      <c r="EO64" s="49">
        <v>0.24194252097413299</v>
      </c>
      <c r="EP64" s="49">
        <v>0.131820504326216</v>
      </c>
      <c r="EQ64" s="49">
        <v>4.0917988741919702E-2</v>
      </c>
      <c r="ER64" s="49">
        <v>1.6782702086354299E-2</v>
      </c>
    </row>
    <row r="65" spans="1:148" ht="28" customHeight="1">
      <c r="A65" s="9">
        <v>39</v>
      </c>
      <c r="B65" s="9">
        <f t="shared" si="3"/>
        <v>64</v>
      </c>
      <c r="C65">
        <v>64</v>
      </c>
      <c r="D65" s="9" t="s">
        <v>89</v>
      </c>
      <c r="E65" s="20">
        <v>67142117</v>
      </c>
      <c r="F65" s="37">
        <v>34</v>
      </c>
      <c r="G65" s="20">
        <v>3</v>
      </c>
      <c r="H65" s="23" t="s">
        <v>61</v>
      </c>
      <c r="I65" s="24">
        <f t="shared" si="4"/>
        <v>14</v>
      </c>
      <c r="J65" s="25" t="s">
        <v>542</v>
      </c>
      <c r="K65" s="9">
        <v>1</v>
      </c>
      <c r="L65" s="9">
        <v>1</v>
      </c>
      <c r="M65" s="23" t="s">
        <v>8</v>
      </c>
      <c r="N65" s="17">
        <v>2970</v>
      </c>
      <c r="O65" s="45">
        <v>0</v>
      </c>
      <c r="P65" s="17">
        <v>1</v>
      </c>
      <c r="Q65" s="17">
        <v>1</v>
      </c>
      <c r="R65" s="18">
        <v>45492</v>
      </c>
      <c r="S65" s="9">
        <v>1</v>
      </c>
      <c r="T65" s="9">
        <v>0</v>
      </c>
      <c r="U65" s="9">
        <v>0</v>
      </c>
      <c r="V65" s="9">
        <v>0</v>
      </c>
      <c r="W65" s="9">
        <v>1</v>
      </c>
      <c r="X65" s="9">
        <v>7</v>
      </c>
      <c r="Y65" s="9">
        <v>2</v>
      </c>
      <c r="Z65" s="9">
        <v>7</v>
      </c>
      <c r="AA65" s="9">
        <v>1</v>
      </c>
      <c r="AB65" s="9">
        <v>1</v>
      </c>
      <c r="AC65" s="9">
        <v>10</v>
      </c>
      <c r="AD65" s="9">
        <v>10</v>
      </c>
      <c r="AE65" s="9">
        <v>1</v>
      </c>
      <c r="AF65" s="9">
        <v>2</v>
      </c>
      <c r="AG65" s="9">
        <v>2</v>
      </c>
      <c r="AH65" s="9">
        <v>2</v>
      </c>
      <c r="AI65" s="9">
        <v>1</v>
      </c>
      <c r="AJ65" s="9">
        <v>1</v>
      </c>
      <c r="AK65" s="9">
        <v>2</v>
      </c>
      <c r="AL65" s="9">
        <v>37</v>
      </c>
      <c r="AM65" s="9">
        <v>2</v>
      </c>
      <c r="AN65" s="9">
        <v>1</v>
      </c>
      <c r="AO65" s="17" t="s">
        <v>343</v>
      </c>
      <c r="AP65" s="31" t="s">
        <v>389</v>
      </c>
      <c r="AQ65" s="9" t="s">
        <v>134</v>
      </c>
      <c r="AR65" s="9" t="s">
        <v>133</v>
      </c>
      <c r="AS65" s="9">
        <v>1</v>
      </c>
      <c r="AT65" s="9">
        <v>2</v>
      </c>
      <c r="AU65" s="9">
        <v>1</v>
      </c>
      <c r="AV65" s="9">
        <v>36</v>
      </c>
      <c r="AW65" s="9">
        <v>2</v>
      </c>
      <c r="AX65" s="37">
        <f t="shared" si="5"/>
        <v>36.285714285714285</v>
      </c>
      <c r="AY65" s="9">
        <v>2770</v>
      </c>
      <c r="AZ65" s="9">
        <v>3</v>
      </c>
      <c r="BA65" s="9">
        <v>3</v>
      </c>
      <c r="BB65" s="9">
        <v>47</v>
      </c>
      <c r="BC65" s="9">
        <v>4</v>
      </c>
      <c r="BD65" s="9">
        <v>32</v>
      </c>
      <c r="BE65" s="9">
        <v>4</v>
      </c>
      <c r="BF65" s="9">
        <v>2400</v>
      </c>
      <c r="BG65" s="9">
        <v>3</v>
      </c>
      <c r="BH65" s="9">
        <v>47</v>
      </c>
      <c r="BI65" s="9">
        <v>4</v>
      </c>
      <c r="BJ65" s="9">
        <v>32</v>
      </c>
      <c r="BK65" s="9">
        <v>3</v>
      </c>
      <c r="BL65" s="9">
        <v>1</v>
      </c>
      <c r="BN65" s="9">
        <v>1</v>
      </c>
      <c r="BP65" s="9">
        <v>1</v>
      </c>
      <c r="BR65" s="9">
        <v>1</v>
      </c>
      <c r="BS65" s="9">
        <v>1</v>
      </c>
      <c r="BT65" s="42">
        <v>45488</v>
      </c>
      <c r="BU65" s="32">
        <v>45504</v>
      </c>
      <c r="BV65" s="9">
        <v>1</v>
      </c>
      <c r="BW65" s="9">
        <v>1</v>
      </c>
      <c r="BX65" s="9">
        <v>0</v>
      </c>
      <c r="BY65" s="9">
        <v>1</v>
      </c>
      <c r="BZ65" s="9">
        <v>0</v>
      </c>
      <c r="CA65" s="9">
        <v>1</v>
      </c>
      <c r="CB65" s="18">
        <v>45488</v>
      </c>
      <c r="CC65" s="18">
        <v>45496</v>
      </c>
      <c r="CD65" s="9">
        <v>9</v>
      </c>
      <c r="CE65" s="49">
        <v>0.26236106235471002</v>
      </c>
      <c r="CF65" s="49">
        <v>0.172664778269948</v>
      </c>
      <c r="CG65" s="49">
        <v>0.17676988498531301</v>
      </c>
      <c r="CH65" s="49">
        <v>0.175347913510982</v>
      </c>
      <c r="CI65" s="49">
        <v>0.38615989914503102</v>
      </c>
      <c r="CJ65" s="49">
        <v>0.34977925060083698</v>
      </c>
      <c r="CK65" s="49">
        <v>0.373681311054129</v>
      </c>
      <c r="CL65" s="49">
        <v>0.36001598066923302</v>
      </c>
      <c r="CM65" s="49">
        <v>0.44270114291034901</v>
      </c>
      <c r="CN65" s="49">
        <v>0.44259949890551797</v>
      </c>
      <c r="CO65" s="49">
        <v>0.42794697317524799</v>
      </c>
      <c r="CP65" s="49">
        <v>0.51827212448767401</v>
      </c>
      <c r="CQ65" s="49">
        <v>0.56491315277239995</v>
      </c>
      <c r="CR65" s="49">
        <v>0.52384104983638302</v>
      </c>
      <c r="CS65" s="49">
        <v>0.56924831047963798</v>
      </c>
      <c r="CT65" s="49">
        <v>0.54806861521243599</v>
      </c>
      <c r="CU65" s="49">
        <v>0.51666666666666705</v>
      </c>
      <c r="CV65" s="49">
        <v>0.87301587301587302</v>
      </c>
      <c r="CW65" s="49">
        <v>0.84057971014492805</v>
      </c>
      <c r="CX65" s="49">
        <v>0.84057971014492805</v>
      </c>
      <c r="CY65" s="49">
        <v>0.77083333333333304</v>
      </c>
      <c r="CZ65" s="49">
        <v>0.75892857142857095</v>
      </c>
      <c r="DA65" s="49">
        <v>0.66452991452991395</v>
      </c>
      <c r="DB65" s="49">
        <v>0.66987179487179505</v>
      </c>
      <c r="DC65" s="49">
        <v>0.59558415936224696</v>
      </c>
      <c r="DD65" s="49">
        <v>0.62251158566524001</v>
      </c>
      <c r="DE65" s="49">
        <v>0.61986672061375403</v>
      </c>
      <c r="DF65" s="49">
        <v>0.73301028338380003</v>
      </c>
      <c r="DG65" s="49">
        <v>0.80003149566827703</v>
      </c>
      <c r="DH65" s="49">
        <v>0.80696325483046105</v>
      </c>
      <c r="DI65" s="49">
        <v>0.93966062992530497</v>
      </c>
      <c r="DJ65" s="49">
        <v>0.93260379305201302</v>
      </c>
      <c r="DK65" s="49">
        <v>0.52564102564102599</v>
      </c>
      <c r="DL65" s="49">
        <v>0.55128205128205099</v>
      </c>
      <c r="DM65" s="49">
        <v>0.53846153846153799</v>
      </c>
      <c r="DN65" s="49">
        <v>0.69230769230769196</v>
      </c>
      <c r="DO65" s="49">
        <v>0.73901098901098905</v>
      </c>
      <c r="DP65" s="49">
        <v>0.664468864468864</v>
      </c>
      <c r="DQ65" s="49">
        <v>0.83632478632478702</v>
      </c>
      <c r="DR65" s="49">
        <v>0.88376068376068395</v>
      </c>
      <c r="DS65" s="49">
        <v>2.8571428571428599</v>
      </c>
      <c r="DT65" s="49">
        <v>1.28571428571429</v>
      </c>
      <c r="DU65" s="49">
        <v>1.34782608695652</v>
      </c>
      <c r="DV65" s="49">
        <v>1.34782608695652</v>
      </c>
      <c r="DW65" s="49">
        <v>1.4821428571428601</v>
      </c>
      <c r="DX65" s="49">
        <v>1.5535714285714299</v>
      </c>
      <c r="DY65" s="49">
        <v>1.8076923076923099</v>
      </c>
      <c r="DZ65" s="49">
        <v>1.7820512820512799</v>
      </c>
      <c r="EA65" s="49">
        <v>52.747438893803</v>
      </c>
      <c r="EB65" s="49">
        <v>29.8792180604622</v>
      </c>
      <c r="EC65" s="49">
        <v>27.3683984340291</v>
      </c>
      <c r="ED65" s="49">
        <v>9.6876661626835201</v>
      </c>
      <c r="EE65" s="49">
        <v>419.60372162630102</v>
      </c>
      <c r="EF65" s="49">
        <v>63.215162339838201</v>
      </c>
      <c r="EG65" s="49">
        <v>19.557408588585101</v>
      </c>
      <c r="EH65" s="49">
        <v>20.604805317749602</v>
      </c>
      <c r="EI65" s="49">
        <v>10.303389166269101</v>
      </c>
      <c r="EJ65" s="49">
        <v>271.05716591354502</v>
      </c>
      <c r="EK65" s="49">
        <v>0.12570774798985199</v>
      </c>
      <c r="EL65" s="49">
        <v>7.1208181721211197E-2</v>
      </c>
      <c r="EM65" s="49">
        <v>6.5224393930431696E-2</v>
      </c>
      <c r="EN65" s="49">
        <v>2.3087655479165099E-2</v>
      </c>
      <c r="EO65" s="49">
        <v>0.233217085874797</v>
      </c>
      <c r="EP65" s="49">
        <v>7.2152339240582994E-2</v>
      </c>
      <c r="EQ65" s="49">
        <v>7.6016456706854404E-2</v>
      </c>
      <c r="ER65" s="49">
        <v>3.8011867834386599E-2</v>
      </c>
    </row>
    <row r="66" spans="1:148" ht="28" customHeight="1">
      <c r="A66" s="9">
        <v>22</v>
      </c>
      <c r="B66" s="9">
        <f t="shared" ref="B66:B84" si="6">ROW(B66)-1</f>
        <v>65</v>
      </c>
      <c r="C66">
        <v>65</v>
      </c>
      <c r="D66" s="20" t="s">
        <v>107</v>
      </c>
      <c r="E66" s="20">
        <v>67097306</v>
      </c>
      <c r="F66" s="37">
        <v>32.142857142857146</v>
      </c>
      <c r="G66" s="20">
        <v>3</v>
      </c>
      <c r="H66" s="27">
        <v>45473</v>
      </c>
      <c r="I66" s="24">
        <f t="shared" ref="I66:I72" si="7">H66-M66</f>
        <v>29</v>
      </c>
      <c r="J66" s="25" t="s">
        <v>527</v>
      </c>
      <c r="K66" s="9">
        <v>1</v>
      </c>
      <c r="L66" s="9">
        <v>1</v>
      </c>
      <c r="M66" s="23" t="s">
        <v>73</v>
      </c>
      <c r="N66" s="17">
        <v>3984</v>
      </c>
      <c r="O66" s="45">
        <v>0</v>
      </c>
      <c r="P66" s="17">
        <v>1</v>
      </c>
      <c r="Q66" s="17">
        <v>1</v>
      </c>
      <c r="R66" s="18">
        <v>45457</v>
      </c>
      <c r="S66" s="9">
        <v>2</v>
      </c>
      <c r="T66" s="9">
        <v>10</v>
      </c>
      <c r="U66" s="9">
        <v>12</v>
      </c>
      <c r="V66" s="9">
        <v>22</v>
      </c>
      <c r="W66" s="9">
        <v>15</v>
      </c>
      <c r="X66" s="9">
        <v>6</v>
      </c>
      <c r="Y66" s="9">
        <v>14</v>
      </c>
      <c r="Z66" s="9">
        <v>13</v>
      </c>
      <c r="AA66" s="9">
        <v>1</v>
      </c>
      <c r="AB66" s="9">
        <v>2</v>
      </c>
      <c r="AC66" s="9">
        <v>10</v>
      </c>
      <c r="AD66" s="9">
        <v>8</v>
      </c>
      <c r="AE66" s="9">
        <v>1</v>
      </c>
      <c r="AF66" s="9">
        <v>2</v>
      </c>
      <c r="AG66" s="9">
        <v>1</v>
      </c>
      <c r="AH66" s="9">
        <v>2</v>
      </c>
      <c r="AI66" s="9">
        <v>2</v>
      </c>
      <c r="AJ66" s="9">
        <v>1</v>
      </c>
      <c r="AK66" s="9">
        <v>1</v>
      </c>
      <c r="AL66" s="9">
        <v>27</v>
      </c>
      <c r="AM66" s="9">
        <v>2</v>
      </c>
      <c r="AN66" s="9">
        <v>1</v>
      </c>
      <c r="AO66" s="9" t="s">
        <v>331</v>
      </c>
      <c r="AQ66" s="9" t="s">
        <v>162</v>
      </c>
      <c r="AR66" s="9" t="s">
        <v>163</v>
      </c>
      <c r="AS66" s="9">
        <v>1</v>
      </c>
      <c r="AT66" s="9">
        <v>2</v>
      </c>
      <c r="AU66" s="9">
        <v>1</v>
      </c>
      <c r="AV66" s="9">
        <v>39</v>
      </c>
      <c r="AW66" s="9">
        <v>0</v>
      </c>
      <c r="AX66" s="37">
        <f t="shared" ref="AX66:AX72" si="8">AV66+AW66/7</f>
        <v>39</v>
      </c>
      <c r="AY66" s="9">
        <v>1810</v>
      </c>
      <c r="AZ66" s="9">
        <v>2</v>
      </c>
      <c r="BA66" s="9">
        <v>4</v>
      </c>
      <c r="BB66" s="9">
        <v>43</v>
      </c>
      <c r="BC66" s="9">
        <v>4</v>
      </c>
      <c r="BD66" s="9">
        <v>29</v>
      </c>
      <c r="BE66" s="9">
        <v>3</v>
      </c>
      <c r="BF66" s="9">
        <v>2240</v>
      </c>
      <c r="BG66" s="9">
        <v>1</v>
      </c>
      <c r="BH66" s="9">
        <v>46</v>
      </c>
      <c r="BI66" s="9">
        <v>2</v>
      </c>
      <c r="BJ66" s="9">
        <v>32</v>
      </c>
      <c r="BK66" s="9">
        <v>2</v>
      </c>
      <c r="BL66" s="9">
        <v>1</v>
      </c>
      <c r="BN66" s="9">
        <v>1</v>
      </c>
      <c r="BP66" s="9">
        <v>1</v>
      </c>
      <c r="BR66" s="9">
        <v>1</v>
      </c>
      <c r="BS66" s="9">
        <v>1</v>
      </c>
      <c r="BT66" s="42">
        <v>45444</v>
      </c>
      <c r="BU66" s="18">
        <v>45479</v>
      </c>
      <c r="BV66" s="9">
        <v>2</v>
      </c>
      <c r="BW66" s="9">
        <v>2</v>
      </c>
      <c r="BX66" s="9">
        <v>4</v>
      </c>
      <c r="BY66" s="9">
        <v>2</v>
      </c>
      <c r="BZ66" s="9">
        <v>36</v>
      </c>
      <c r="CA66" s="9">
        <v>1</v>
      </c>
      <c r="CB66" s="18">
        <v>45445</v>
      </c>
      <c r="CC66" s="18">
        <v>45450</v>
      </c>
      <c r="CD66" s="17">
        <v>6</v>
      </c>
      <c r="CE66" s="49">
        <v>0.260477384353415</v>
      </c>
      <c r="CF66" s="49">
        <v>0.24629706468700999</v>
      </c>
      <c r="CG66" s="49">
        <v>0.25285784020747099</v>
      </c>
      <c r="CH66" s="49">
        <v>0.22854022383286901</v>
      </c>
      <c r="CI66" s="49">
        <v>0.43878262111265598</v>
      </c>
      <c r="CJ66" s="49">
        <v>0.42596496585371402</v>
      </c>
      <c r="CK66" s="49">
        <v>0.40345821540430798</v>
      </c>
      <c r="CL66" s="49">
        <v>0.439265270418917</v>
      </c>
      <c r="CM66" s="49">
        <v>0.39131307610917299</v>
      </c>
      <c r="CN66" s="49">
        <v>0.40191515298636699</v>
      </c>
      <c r="CO66" s="49">
        <v>0.31679381415823799</v>
      </c>
      <c r="CP66" s="49">
        <v>0.36184921180574797</v>
      </c>
      <c r="CQ66" s="49">
        <v>0.52315823882101697</v>
      </c>
      <c r="CR66" s="49">
        <v>0.53495278427597703</v>
      </c>
      <c r="CS66" s="49">
        <v>0.55640447607846699</v>
      </c>
      <c r="CT66" s="49">
        <v>0.44956302657527197</v>
      </c>
      <c r="CU66" s="49">
        <v>0.58188405797101495</v>
      </c>
      <c r="CV66" s="49">
        <v>0.59021739130434803</v>
      </c>
      <c r="CW66" s="49">
        <v>0.58645833333333297</v>
      </c>
      <c r="CX66" s="49">
        <v>0.65170940170940195</v>
      </c>
      <c r="CY66" s="49">
        <v>0.66025641025641002</v>
      </c>
      <c r="CZ66" s="49">
        <v>0.67521367521367504</v>
      </c>
      <c r="DA66" s="49">
        <v>0.72727272727272696</v>
      </c>
      <c r="DB66" s="49">
        <v>0.683760683760684</v>
      </c>
      <c r="DC66" s="49">
        <v>0.50595131744652699</v>
      </c>
      <c r="DD66" s="49">
        <v>0.55275184342417305</v>
      </c>
      <c r="DE66" s="49">
        <v>0.43512617542498899</v>
      </c>
      <c r="DF66" s="49">
        <v>0.493534617062931</v>
      </c>
      <c r="DG66" s="49">
        <v>0.76819105670226195</v>
      </c>
      <c r="DH66" s="49">
        <v>0.84441337270883998</v>
      </c>
      <c r="DI66" s="49">
        <v>0.86111192927851499</v>
      </c>
      <c r="DJ66" s="49">
        <v>0.70087619697862202</v>
      </c>
      <c r="DK66" s="49">
        <v>0.38461538461538503</v>
      </c>
      <c r="DL66" s="49">
        <v>0.47948717948718</v>
      </c>
      <c r="DM66" s="49">
        <v>0.40256410256410302</v>
      </c>
      <c r="DN66" s="49">
        <v>0.42307692307692302</v>
      </c>
      <c r="DO66" s="49">
        <v>0.61978021978022002</v>
      </c>
      <c r="DP66" s="49">
        <v>0.59505494505494505</v>
      </c>
      <c r="DQ66" s="49">
        <v>0.64902319902319905</v>
      </c>
      <c r="DR66" s="49">
        <v>0.58998778998779</v>
      </c>
      <c r="DS66" s="49">
        <v>2.3695652173913002</v>
      </c>
      <c r="DT66" s="49">
        <v>2.2826086956521698</v>
      </c>
      <c r="DU66" s="49">
        <v>2.2708333333333299</v>
      </c>
      <c r="DV66" s="49">
        <v>1.94871794871795</v>
      </c>
      <c r="DW66" s="49">
        <v>1.84615384615385</v>
      </c>
      <c r="DX66" s="49">
        <v>1.7435897435897401</v>
      </c>
      <c r="DY66" s="49">
        <v>1.5757575757575799</v>
      </c>
      <c r="DZ66" s="49">
        <v>1.6923076923076901</v>
      </c>
      <c r="EA66" s="49">
        <v>52.471105137708598</v>
      </c>
      <c r="EB66" s="49">
        <v>9.1831164598586597</v>
      </c>
      <c r="EC66" s="49">
        <v>3.5673392751814799</v>
      </c>
      <c r="ED66" s="49">
        <v>2.2604202906708601</v>
      </c>
      <c r="EE66" s="49">
        <v>281.31950436790697</v>
      </c>
      <c r="EF66" s="49">
        <v>54.272641726852598</v>
      </c>
      <c r="EG66" s="49">
        <v>15.1094745921502</v>
      </c>
      <c r="EH66" s="49">
        <v>5.2565264186154197</v>
      </c>
      <c r="EI66" s="49">
        <v>4.1036895492110199</v>
      </c>
      <c r="EJ66" s="49">
        <v>321.27914799018998</v>
      </c>
      <c r="EK66" s="49">
        <v>0.18651783585217499</v>
      </c>
      <c r="EL66" s="49">
        <v>3.2643013787799997E-2</v>
      </c>
      <c r="EM66" s="49">
        <v>1.2680739229926101E-2</v>
      </c>
      <c r="EN66" s="49">
        <v>8.0350642439448606E-3</v>
      </c>
      <c r="EO66" s="49">
        <v>0.168926748176355</v>
      </c>
      <c r="EP66" s="49">
        <v>4.7029116849536597E-2</v>
      </c>
      <c r="EQ66" s="49">
        <v>1.6361243645902399E-2</v>
      </c>
      <c r="ER66" s="49">
        <v>1.27729719618664E-2</v>
      </c>
    </row>
    <row r="67" spans="1:148" ht="28" customHeight="1">
      <c r="A67" s="17">
        <v>75</v>
      </c>
      <c r="B67" s="9">
        <f t="shared" si="6"/>
        <v>66</v>
      </c>
      <c r="C67">
        <v>66</v>
      </c>
      <c r="D67" s="9" t="s">
        <v>218</v>
      </c>
      <c r="E67" s="9">
        <v>67058857</v>
      </c>
      <c r="F67" s="37">
        <v>33.428571428571431</v>
      </c>
      <c r="G67" s="20">
        <v>3</v>
      </c>
      <c r="H67" s="22">
        <v>45430</v>
      </c>
      <c r="I67" s="20">
        <f t="shared" si="7"/>
        <v>28</v>
      </c>
      <c r="J67" s="28" t="s">
        <v>534</v>
      </c>
      <c r="K67" s="9">
        <v>1</v>
      </c>
      <c r="L67" s="9">
        <v>1</v>
      </c>
      <c r="M67" s="22">
        <v>45402</v>
      </c>
      <c r="N67" s="17">
        <v>5896</v>
      </c>
      <c r="O67" s="45">
        <v>0</v>
      </c>
      <c r="P67" s="17">
        <v>1</v>
      </c>
      <c r="Q67" s="17">
        <v>1</v>
      </c>
      <c r="R67" s="18">
        <v>45427</v>
      </c>
      <c r="S67" s="9">
        <v>2</v>
      </c>
      <c r="T67" s="9">
        <v>9</v>
      </c>
      <c r="U67" s="9">
        <v>2</v>
      </c>
      <c r="V67" s="9">
        <v>11</v>
      </c>
      <c r="W67" s="9">
        <v>27</v>
      </c>
      <c r="X67" s="9">
        <v>28</v>
      </c>
      <c r="Y67" s="9">
        <v>8</v>
      </c>
      <c r="Z67" s="9">
        <v>16</v>
      </c>
      <c r="AA67" s="9">
        <v>1</v>
      </c>
      <c r="AB67" s="9">
        <v>1</v>
      </c>
      <c r="AC67" s="9">
        <v>8</v>
      </c>
      <c r="AD67" s="9">
        <v>9</v>
      </c>
      <c r="AE67" s="9">
        <v>3</v>
      </c>
      <c r="AF67" s="9">
        <v>2</v>
      </c>
      <c r="AG67" s="9">
        <v>1</v>
      </c>
      <c r="AH67" s="9">
        <v>2</v>
      </c>
      <c r="AI67" s="9">
        <v>2</v>
      </c>
      <c r="AJ67" s="9">
        <v>2</v>
      </c>
      <c r="AK67" s="9">
        <v>1</v>
      </c>
      <c r="AL67" s="9">
        <v>33</v>
      </c>
      <c r="AM67" s="9">
        <v>2</v>
      </c>
      <c r="AN67" s="9">
        <v>1</v>
      </c>
      <c r="AO67" s="9" t="s">
        <v>481</v>
      </c>
      <c r="AP67" s="9" t="s">
        <v>482</v>
      </c>
      <c r="AQ67" s="9" t="s">
        <v>483</v>
      </c>
      <c r="AR67" s="9" t="s">
        <v>484</v>
      </c>
      <c r="AS67" s="9">
        <v>1</v>
      </c>
      <c r="AT67" s="9">
        <v>2</v>
      </c>
      <c r="AU67" s="9">
        <v>1</v>
      </c>
      <c r="AV67" s="9">
        <v>40</v>
      </c>
      <c r="AW67" s="9">
        <v>0</v>
      </c>
      <c r="AX67" s="37">
        <f t="shared" si="8"/>
        <v>40</v>
      </c>
      <c r="AY67" s="9">
        <v>1605</v>
      </c>
      <c r="AZ67" s="9">
        <v>3</v>
      </c>
      <c r="BA67" s="9">
        <v>3</v>
      </c>
      <c r="BB67" s="9">
        <v>43</v>
      </c>
      <c r="BC67" s="9">
        <v>3</v>
      </c>
      <c r="BD67" s="9">
        <v>28</v>
      </c>
      <c r="BE67" s="9">
        <v>3</v>
      </c>
      <c r="BF67" s="9">
        <v>2200</v>
      </c>
      <c r="BG67" s="9">
        <v>3</v>
      </c>
      <c r="BH67" s="9">
        <v>48</v>
      </c>
      <c r="BI67" s="9">
        <v>3</v>
      </c>
      <c r="BJ67" s="9">
        <v>32</v>
      </c>
      <c r="BK67" s="9">
        <v>3</v>
      </c>
      <c r="BL67" s="9">
        <v>1</v>
      </c>
      <c r="BN67" s="9">
        <v>1</v>
      </c>
      <c r="BP67" s="9">
        <v>1</v>
      </c>
      <c r="BR67" s="9">
        <v>1</v>
      </c>
      <c r="BS67" s="9">
        <v>1</v>
      </c>
      <c r="BT67" s="18">
        <v>45402</v>
      </c>
      <c r="BU67" s="18">
        <v>45448</v>
      </c>
      <c r="BV67" s="9">
        <v>2</v>
      </c>
      <c r="BW67" s="9">
        <v>2</v>
      </c>
      <c r="BX67" s="9">
        <v>9</v>
      </c>
      <c r="BY67" s="9">
        <v>2</v>
      </c>
      <c r="BZ67" s="9">
        <v>37</v>
      </c>
      <c r="CA67" s="9">
        <v>1</v>
      </c>
      <c r="CB67" s="18">
        <v>45402</v>
      </c>
      <c r="CC67" s="18">
        <v>45405</v>
      </c>
      <c r="CD67" s="9">
        <v>4</v>
      </c>
      <c r="CE67" s="49">
        <v>0.28891472317463901</v>
      </c>
      <c r="CF67" s="49">
        <v>0.26080088194471701</v>
      </c>
      <c r="CG67" s="49">
        <v>0.26348400960621499</v>
      </c>
      <c r="CH67" s="49">
        <v>0.25861507008772699</v>
      </c>
      <c r="CI67" s="49">
        <v>0.40024152415880998</v>
      </c>
      <c r="CJ67" s="49">
        <v>0.38369721381795902</v>
      </c>
      <c r="CK67" s="49">
        <v>0.36446026261653702</v>
      </c>
      <c r="CL67" s="49">
        <v>0.37803017449524401</v>
      </c>
      <c r="CM67" s="49">
        <v>0.321013141708962</v>
      </c>
      <c r="CN67" s="49">
        <v>0.27954429043108803</v>
      </c>
      <c r="CO67" s="49">
        <v>0.30497314660982899</v>
      </c>
      <c r="CP67" s="49">
        <v>0.29848016888488299</v>
      </c>
      <c r="CQ67" s="49">
        <v>0.57693045566988399</v>
      </c>
      <c r="CR67" s="49">
        <v>0.55995849560168998</v>
      </c>
      <c r="CS67" s="49">
        <v>0.53583143936583899</v>
      </c>
      <c r="CT67" s="49">
        <v>0.54628531952107295</v>
      </c>
      <c r="CU67" s="49">
        <v>0.49848484848484897</v>
      </c>
      <c r="CV67" s="49">
        <v>0.54484848484848503</v>
      </c>
      <c r="CW67" s="49">
        <v>0.55121212121212104</v>
      </c>
      <c r="CX67" s="49">
        <v>0.55121212121212104</v>
      </c>
      <c r="CY67" s="49">
        <v>0.78181818181818197</v>
      </c>
      <c r="CZ67" s="49">
        <v>0.78181818181818197</v>
      </c>
      <c r="DA67" s="49">
        <v>0.78181818181818197</v>
      </c>
      <c r="DB67" s="49">
        <v>0.71085858585858597</v>
      </c>
      <c r="DC67" s="49">
        <v>0.43813848851200499</v>
      </c>
      <c r="DD67" s="49">
        <v>0.386856437229954</v>
      </c>
      <c r="DE67" s="49">
        <v>0.42531797569149199</v>
      </c>
      <c r="DF67" s="49">
        <v>0.42531797569149199</v>
      </c>
      <c r="DG67" s="49">
        <v>0.79714230293150501</v>
      </c>
      <c r="DH67" s="49">
        <v>0.80792509481520702</v>
      </c>
      <c r="DI67" s="49">
        <v>0.81428718368428399</v>
      </c>
      <c r="DJ67" s="49">
        <v>0.88260815189229003</v>
      </c>
      <c r="DK67" s="49">
        <v>0.39743589743589702</v>
      </c>
      <c r="DL67" s="49">
        <v>0.34615384615384598</v>
      </c>
      <c r="DM67" s="49">
        <v>0.38461538461538503</v>
      </c>
      <c r="DN67" s="49">
        <v>0.38461538461538503</v>
      </c>
      <c r="DO67" s="49">
        <v>0.61190476190476195</v>
      </c>
      <c r="DP67" s="49">
        <v>0.66666666666666696</v>
      </c>
      <c r="DQ67" s="49">
        <v>0.7</v>
      </c>
      <c r="DR67" s="49">
        <v>0.73522588522588495</v>
      </c>
      <c r="DS67" s="49">
        <v>2.7727272727272698</v>
      </c>
      <c r="DT67" s="49">
        <v>2.4909090909090899</v>
      </c>
      <c r="DU67" s="49">
        <v>2.4</v>
      </c>
      <c r="DV67" s="49">
        <v>2.4</v>
      </c>
      <c r="DW67" s="49">
        <v>1.4363636363636401</v>
      </c>
      <c r="DX67" s="49">
        <v>1.4363636363636401</v>
      </c>
      <c r="DY67" s="49">
        <v>1.4363636363636401</v>
      </c>
      <c r="DZ67" s="49">
        <v>1.6818181818181801</v>
      </c>
      <c r="EA67" s="49">
        <v>36.896112587445501</v>
      </c>
      <c r="EB67" s="49">
        <v>12.950745156455</v>
      </c>
      <c r="EC67" s="49">
        <v>5.2030807201905196</v>
      </c>
      <c r="ED67" s="49">
        <v>2.0999138716814998</v>
      </c>
      <c r="EE67" s="49">
        <v>173.44741753155901</v>
      </c>
      <c r="EF67" s="49">
        <v>46.0113295474018</v>
      </c>
      <c r="EG67" s="49">
        <v>25.283169040786401</v>
      </c>
      <c r="EH67" s="49">
        <v>8.5308824356161992</v>
      </c>
      <c r="EI67" s="49">
        <v>4.0212039512519002</v>
      </c>
      <c r="EJ67" s="49">
        <v>183.96532289879499</v>
      </c>
      <c r="EK67" s="49">
        <v>0.212722178932022</v>
      </c>
      <c r="EL67" s="49">
        <v>7.46666934611383E-2</v>
      </c>
      <c r="EM67" s="49">
        <v>2.9998029340758601E-2</v>
      </c>
      <c r="EN67" s="49">
        <v>1.21069192125586E-2</v>
      </c>
      <c r="EO67" s="49">
        <v>0.25010870974153099</v>
      </c>
      <c r="EP67" s="49">
        <v>0.13743442863248501</v>
      </c>
      <c r="EQ67" s="49">
        <v>4.6372230924788399E-2</v>
      </c>
      <c r="ER67" s="49">
        <v>2.1858488805871799E-2</v>
      </c>
    </row>
    <row r="68" spans="1:148" ht="28" customHeight="1">
      <c r="A68" s="17">
        <v>72</v>
      </c>
      <c r="B68" s="9">
        <f t="shared" si="6"/>
        <v>67</v>
      </c>
      <c r="C68">
        <v>67</v>
      </c>
      <c r="D68" s="9" t="s">
        <v>215</v>
      </c>
      <c r="E68" s="9">
        <v>66989888</v>
      </c>
      <c r="F68" s="37">
        <v>28.285714285714285</v>
      </c>
      <c r="G68" s="9">
        <v>2</v>
      </c>
      <c r="H68" s="22">
        <v>45385</v>
      </c>
      <c r="I68" s="20">
        <f t="shared" si="7"/>
        <v>58</v>
      </c>
      <c r="J68" s="28" t="s">
        <v>41</v>
      </c>
      <c r="K68" s="9">
        <v>1</v>
      </c>
      <c r="L68" s="9">
        <v>1</v>
      </c>
      <c r="M68" s="22">
        <v>45327</v>
      </c>
      <c r="N68" s="17">
        <v>10776</v>
      </c>
      <c r="O68" s="45">
        <v>0</v>
      </c>
      <c r="P68" s="17">
        <v>1</v>
      </c>
      <c r="Q68" s="17">
        <v>1</v>
      </c>
      <c r="R68" s="18">
        <v>45403</v>
      </c>
      <c r="S68" s="9">
        <v>2</v>
      </c>
      <c r="T68" s="9">
        <v>28</v>
      </c>
      <c r="U68" s="9">
        <v>56</v>
      </c>
      <c r="V68" s="9">
        <v>84</v>
      </c>
      <c r="W68" s="9">
        <v>14</v>
      </c>
      <c r="X68" s="9">
        <v>29</v>
      </c>
      <c r="Y68" s="9">
        <v>3</v>
      </c>
      <c r="Z68" s="9">
        <v>41</v>
      </c>
      <c r="AA68" s="9">
        <v>1</v>
      </c>
      <c r="AB68" s="9">
        <v>1</v>
      </c>
      <c r="AC68" s="9">
        <v>8</v>
      </c>
      <c r="AD68" s="9">
        <v>10</v>
      </c>
      <c r="AE68" s="9">
        <v>1</v>
      </c>
      <c r="AF68" s="9">
        <v>2</v>
      </c>
      <c r="AG68" s="9">
        <v>1</v>
      </c>
      <c r="AH68" s="9">
        <v>2</v>
      </c>
      <c r="AI68" s="9">
        <v>2</v>
      </c>
      <c r="AJ68" s="9">
        <v>1</v>
      </c>
      <c r="AK68" s="9">
        <v>1</v>
      </c>
      <c r="AL68" s="9">
        <v>38</v>
      </c>
      <c r="AM68" s="9">
        <v>3</v>
      </c>
      <c r="AN68" s="9">
        <v>1</v>
      </c>
      <c r="AO68" s="9" t="s">
        <v>469</v>
      </c>
      <c r="AP68" s="9" t="s">
        <v>470</v>
      </c>
      <c r="AQ68" s="9" t="s">
        <v>471</v>
      </c>
      <c r="AR68" s="9" t="s">
        <v>472</v>
      </c>
      <c r="AS68" s="9">
        <v>1</v>
      </c>
      <c r="AT68" s="9">
        <v>2</v>
      </c>
      <c r="AU68" s="9">
        <v>1</v>
      </c>
      <c r="AV68" s="9">
        <v>47</v>
      </c>
      <c r="AW68" s="9">
        <v>0</v>
      </c>
      <c r="AX68" s="37">
        <f t="shared" si="8"/>
        <v>47</v>
      </c>
      <c r="AY68" s="9">
        <v>690</v>
      </c>
      <c r="AZ68" s="9">
        <v>1</v>
      </c>
      <c r="BA68" s="9">
        <v>2</v>
      </c>
      <c r="BB68" s="9">
        <v>33</v>
      </c>
      <c r="BC68" s="9">
        <v>2</v>
      </c>
      <c r="BD68" s="9">
        <v>23</v>
      </c>
      <c r="BE68" s="9">
        <v>2</v>
      </c>
      <c r="BF68" s="9">
        <v>2980</v>
      </c>
      <c r="BG68" s="9">
        <v>1</v>
      </c>
      <c r="BH68" s="9">
        <v>50</v>
      </c>
      <c r="BI68" s="9">
        <v>1</v>
      </c>
      <c r="BJ68" s="9">
        <v>36</v>
      </c>
      <c r="BK68" s="9">
        <v>2</v>
      </c>
      <c r="BL68" s="9">
        <v>1</v>
      </c>
      <c r="BN68" s="9">
        <v>2</v>
      </c>
      <c r="BO68" s="9">
        <v>2</v>
      </c>
      <c r="BP68" s="9">
        <v>1</v>
      </c>
      <c r="BR68" s="9">
        <v>1</v>
      </c>
      <c r="BS68" s="9">
        <v>2</v>
      </c>
      <c r="BT68" s="18">
        <v>45327</v>
      </c>
      <c r="BU68" s="18">
        <v>45468</v>
      </c>
      <c r="BV68" s="9">
        <v>1</v>
      </c>
      <c r="BW68" s="9">
        <v>2</v>
      </c>
      <c r="BX68" s="9">
        <v>3</v>
      </c>
      <c r="BY68" s="9">
        <v>2</v>
      </c>
      <c r="BZ68" s="9">
        <v>67</v>
      </c>
      <c r="CA68" s="9">
        <v>1</v>
      </c>
      <c r="CB68" s="18">
        <v>45327</v>
      </c>
      <c r="CC68" s="18">
        <v>45373</v>
      </c>
      <c r="CD68" s="9">
        <v>47</v>
      </c>
      <c r="CE68" s="49">
        <v>0.32944597844401902</v>
      </c>
      <c r="CF68" s="49">
        <v>0.31618296922266897</v>
      </c>
      <c r="CG68" s="49">
        <v>0.22896851143831501</v>
      </c>
      <c r="CH68" s="49">
        <v>0.23004103269878901</v>
      </c>
      <c r="CI68" s="49">
        <v>0.43814697093031002</v>
      </c>
      <c r="CJ68" s="49">
        <v>0.41637783714370202</v>
      </c>
      <c r="CK68" s="49">
        <v>0.39267311146294598</v>
      </c>
      <c r="CL68" s="49">
        <v>0.38856239104819001</v>
      </c>
      <c r="CM68" s="49">
        <v>0.30245471259998502</v>
      </c>
      <c r="CN68" s="49">
        <v>0.26713595231107101</v>
      </c>
      <c r="CO68" s="49">
        <v>0.43736682805008298</v>
      </c>
      <c r="CP68" s="49">
        <v>0.378796116247961</v>
      </c>
      <c r="CQ68" s="49">
        <v>0.56451603293841102</v>
      </c>
      <c r="CR68" s="49">
        <v>0.39716735600754099</v>
      </c>
      <c r="CS68" s="49">
        <v>0.49701111306436202</v>
      </c>
      <c r="CT68" s="49">
        <v>0.434514347811296</v>
      </c>
      <c r="CU68" s="49">
        <v>0.52752525252525295</v>
      </c>
      <c r="CV68" s="49">
        <v>0.52853535353535397</v>
      </c>
      <c r="CW68" s="49">
        <v>0.68918918918918903</v>
      </c>
      <c r="CX68" s="49">
        <v>0.68421052631579005</v>
      </c>
      <c r="CY68" s="49">
        <v>0.72727272727272696</v>
      </c>
      <c r="CZ68" s="49">
        <v>0.67521367521367504</v>
      </c>
      <c r="DA68" s="49">
        <v>0.66559829059829101</v>
      </c>
      <c r="DB68" s="49">
        <v>0.67200854700854695</v>
      </c>
      <c r="DC68" s="49">
        <v>0.40622571996219897</v>
      </c>
      <c r="DD68" s="49">
        <v>0.37163334682010501</v>
      </c>
      <c r="DE68" s="49">
        <v>0.62186432591670604</v>
      </c>
      <c r="DF68" s="49">
        <v>0.53036541833231399</v>
      </c>
      <c r="DG68" s="49">
        <v>0.796951179614109</v>
      </c>
      <c r="DH68" s="49">
        <v>0.656385457221902</v>
      </c>
      <c r="DI68" s="49">
        <v>0.83898731438985996</v>
      </c>
      <c r="DJ68" s="49">
        <v>0.75449226284273896</v>
      </c>
      <c r="DK68" s="49">
        <v>0.30769230769230799</v>
      </c>
      <c r="DL68" s="49">
        <v>0.35128205128205098</v>
      </c>
      <c r="DM68" s="49">
        <v>0.53589743589743599</v>
      </c>
      <c r="DN68" s="49">
        <v>0.47948717948718</v>
      </c>
      <c r="DO68" s="49">
        <v>0.66984126984127002</v>
      </c>
      <c r="DP68" s="49">
        <v>0.48992673992674002</v>
      </c>
      <c r="DQ68" s="49">
        <v>0.67521367521367504</v>
      </c>
      <c r="DR68" s="49">
        <v>0.61660561660561697</v>
      </c>
      <c r="DS68" s="49">
        <v>2.4393939393939399</v>
      </c>
      <c r="DT68" s="49">
        <v>2.4545454545454501</v>
      </c>
      <c r="DU68" s="49">
        <v>1.72972972972973</v>
      </c>
      <c r="DV68" s="49">
        <v>1.73684210526316</v>
      </c>
      <c r="DW68" s="49">
        <v>1.5757575757575799</v>
      </c>
      <c r="DX68" s="49">
        <v>1.7435897435897401</v>
      </c>
      <c r="DY68" s="49">
        <v>1.8333333333333299</v>
      </c>
      <c r="DZ68" s="49">
        <v>1.7820512820512799</v>
      </c>
      <c r="EA68" s="49">
        <v>53.207320322145101</v>
      </c>
      <c r="EB68" s="49">
        <v>16.2483737203322</v>
      </c>
      <c r="EC68" s="49">
        <v>5.4897564312501004</v>
      </c>
      <c r="ED68" s="49">
        <v>2.6268074535560899</v>
      </c>
      <c r="EE68" s="49">
        <v>242.054288390875</v>
      </c>
      <c r="EF68" s="49">
        <v>66.374039421417393</v>
      </c>
      <c r="EG68" s="49">
        <v>22.504420234094699</v>
      </c>
      <c r="EH68" s="49">
        <v>8.1257142846021608</v>
      </c>
      <c r="EI68" s="49">
        <v>3.79775282588249</v>
      </c>
      <c r="EJ68" s="49">
        <v>260.55482637252499</v>
      </c>
      <c r="EK68" s="49">
        <v>0.21981564828227601</v>
      </c>
      <c r="EL68" s="49">
        <v>6.7126981423662996E-2</v>
      </c>
      <c r="EM68" s="49">
        <v>2.2679856108911801E-2</v>
      </c>
      <c r="EN68" s="49">
        <v>1.08521417695945E-2</v>
      </c>
      <c r="EO68" s="49">
        <v>0.25474116271605801</v>
      </c>
      <c r="EP68" s="49">
        <v>8.6371150929744303E-2</v>
      </c>
      <c r="EQ68" s="49">
        <v>3.1186197537498399E-2</v>
      </c>
      <c r="ER68" s="49">
        <v>1.4575637990496101E-2</v>
      </c>
    </row>
    <row r="69" spans="1:148" ht="28" customHeight="1">
      <c r="A69" s="9">
        <v>24</v>
      </c>
      <c r="B69" s="9">
        <f t="shared" si="6"/>
        <v>68</v>
      </c>
      <c r="C69">
        <v>68</v>
      </c>
      <c r="D69" s="20" t="s">
        <v>109</v>
      </c>
      <c r="E69" s="20">
        <v>67099787</v>
      </c>
      <c r="F69" s="37">
        <v>33.285714285714285</v>
      </c>
      <c r="G69" s="20">
        <v>3</v>
      </c>
      <c r="H69" s="23" t="s">
        <v>77</v>
      </c>
      <c r="I69" s="24">
        <f t="shared" si="7"/>
        <v>19</v>
      </c>
      <c r="J69" s="25" t="s">
        <v>542</v>
      </c>
      <c r="K69" s="9">
        <v>1</v>
      </c>
      <c r="L69" s="9">
        <v>1</v>
      </c>
      <c r="M69" s="23" t="s">
        <v>71</v>
      </c>
      <c r="N69" s="17">
        <v>4764</v>
      </c>
      <c r="O69" s="45">
        <v>0</v>
      </c>
      <c r="P69" s="17">
        <v>1</v>
      </c>
      <c r="Q69" s="17">
        <v>1</v>
      </c>
      <c r="R69" s="18">
        <v>45454</v>
      </c>
      <c r="S69" s="9">
        <v>2</v>
      </c>
      <c r="T69" s="9">
        <v>0</v>
      </c>
      <c r="U69" s="9">
        <v>3</v>
      </c>
      <c r="V69" s="9">
        <v>3</v>
      </c>
      <c r="W69" s="9">
        <v>6</v>
      </c>
      <c r="X69" s="9">
        <v>0</v>
      </c>
      <c r="Y69" s="9">
        <v>5</v>
      </c>
      <c r="Z69" s="9">
        <v>8</v>
      </c>
      <c r="AA69" s="9">
        <v>2</v>
      </c>
      <c r="AB69" s="9">
        <v>1</v>
      </c>
      <c r="AC69" s="9">
        <v>9</v>
      </c>
      <c r="AD69" s="9">
        <v>10</v>
      </c>
      <c r="AE69" s="9">
        <v>1</v>
      </c>
      <c r="AF69" s="9">
        <v>2</v>
      </c>
      <c r="AG69" s="9">
        <v>1</v>
      </c>
      <c r="AH69" s="9">
        <v>2</v>
      </c>
      <c r="AI69" s="9">
        <v>2</v>
      </c>
      <c r="AJ69" s="9">
        <v>2</v>
      </c>
      <c r="AK69" s="9">
        <v>1</v>
      </c>
      <c r="AL69" s="9">
        <v>40</v>
      </c>
      <c r="AM69" s="9">
        <v>2</v>
      </c>
      <c r="AN69" s="9">
        <v>1</v>
      </c>
      <c r="AO69" s="9" t="s">
        <v>328</v>
      </c>
      <c r="AP69" s="31" t="s">
        <v>370</v>
      </c>
      <c r="AQ69" s="9" t="s">
        <v>332</v>
      </c>
      <c r="AR69" s="9" t="s">
        <v>166</v>
      </c>
      <c r="AS69" s="9">
        <v>1</v>
      </c>
      <c r="AT69" s="9">
        <v>2</v>
      </c>
      <c r="AU69" s="9">
        <v>1</v>
      </c>
      <c r="AV69" s="9">
        <v>36</v>
      </c>
      <c r="AW69" s="9">
        <v>6</v>
      </c>
      <c r="AX69" s="37">
        <f t="shared" si="8"/>
        <v>36.857142857142854</v>
      </c>
      <c r="AY69" s="9">
        <v>2005</v>
      </c>
      <c r="AZ69" s="9">
        <v>3</v>
      </c>
      <c r="BA69" s="9">
        <v>4</v>
      </c>
      <c r="BB69" s="9">
        <v>42</v>
      </c>
      <c r="BC69" s="9">
        <v>3</v>
      </c>
      <c r="BD69" s="9">
        <v>30</v>
      </c>
      <c r="BE69" s="9">
        <v>3</v>
      </c>
      <c r="BF69" s="9">
        <v>2180</v>
      </c>
      <c r="BG69" s="9">
        <v>2</v>
      </c>
      <c r="BH69" s="9">
        <v>46</v>
      </c>
      <c r="BI69" s="9">
        <v>2</v>
      </c>
      <c r="BJ69" s="9">
        <v>32</v>
      </c>
      <c r="BK69" s="9">
        <v>3</v>
      </c>
      <c r="BL69" s="9">
        <v>1</v>
      </c>
      <c r="BN69" s="9">
        <v>1</v>
      </c>
      <c r="BP69" s="9">
        <v>1</v>
      </c>
      <c r="BR69" s="9">
        <v>2</v>
      </c>
      <c r="BS69" s="9">
        <v>1</v>
      </c>
      <c r="BT69" s="23" t="s">
        <v>71</v>
      </c>
      <c r="BU69" s="18">
        <v>45472</v>
      </c>
      <c r="BV69" s="9">
        <v>1</v>
      </c>
      <c r="BW69" s="9">
        <v>1</v>
      </c>
      <c r="BX69" s="9">
        <v>0</v>
      </c>
      <c r="BY69" s="9">
        <v>2</v>
      </c>
      <c r="BZ69" s="9">
        <v>0</v>
      </c>
      <c r="CA69" s="9">
        <v>1</v>
      </c>
      <c r="CB69" s="18">
        <v>45447</v>
      </c>
      <c r="CC69" s="18">
        <v>45447</v>
      </c>
      <c r="CD69" s="17">
        <v>1</v>
      </c>
      <c r="CE69" s="49">
        <v>0.331604183069376</v>
      </c>
      <c r="CF69" s="49">
        <v>0.31872568201081802</v>
      </c>
      <c r="CG69" s="49">
        <v>0.31519875830863697</v>
      </c>
      <c r="CH69" s="49">
        <v>0.31532946571040099</v>
      </c>
      <c r="CI69" s="49">
        <v>0.32786757202008998</v>
      </c>
      <c r="CJ69" s="49">
        <v>0.37881529469478897</v>
      </c>
      <c r="CK69" s="49">
        <v>0.33358608956799102</v>
      </c>
      <c r="CL69" s="49">
        <v>0.33329760020355698</v>
      </c>
      <c r="CM69" s="49">
        <v>0.52842260925747797</v>
      </c>
      <c r="CN69" s="49">
        <v>0.37365855975401002</v>
      </c>
      <c r="CO69" s="49">
        <v>0.334664791462218</v>
      </c>
      <c r="CP69" s="49">
        <v>0.29567252650681702</v>
      </c>
      <c r="CQ69" s="49">
        <v>0.48151956604950102</v>
      </c>
      <c r="CR69" s="49">
        <v>0.42132976933083299</v>
      </c>
      <c r="CS69" s="49">
        <v>0.49687817102408499</v>
      </c>
      <c r="CT69" s="49">
        <v>0.49830242180765899</v>
      </c>
      <c r="CU69" s="49">
        <v>0.56969696969697003</v>
      </c>
      <c r="CV69" s="49">
        <v>0.574242424242424</v>
      </c>
      <c r="CW69" s="49">
        <v>0.56181818181818199</v>
      </c>
      <c r="CX69" s="49">
        <v>0.57575757575757602</v>
      </c>
      <c r="CY69" s="49">
        <v>0.83695652173913104</v>
      </c>
      <c r="CZ69" s="49">
        <v>0.69318181818181801</v>
      </c>
      <c r="DA69" s="49">
        <v>0.83695652173913104</v>
      </c>
      <c r="DB69" s="49">
        <v>0.83333333333333304</v>
      </c>
      <c r="DC69" s="49">
        <v>0.64063245311098105</v>
      </c>
      <c r="DD69" s="49">
        <v>0.48006055058347402</v>
      </c>
      <c r="DE69" s="49">
        <v>0.42387005005475797</v>
      </c>
      <c r="DF69" s="49">
        <v>0.379164129537646</v>
      </c>
      <c r="DG69" s="49">
        <v>0.72600539509134798</v>
      </c>
      <c r="DH69" s="49">
        <v>0.63000871352798604</v>
      </c>
      <c r="DI69" s="49">
        <v>0.73506217953925601</v>
      </c>
      <c r="DJ69" s="49">
        <v>0.73914370443717103</v>
      </c>
      <c r="DK69" s="49">
        <v>0.52820512820512799</v>
      </c>
      <c r="DL69" s="49">
        <v>0.42307692307692302</v>
      </c>
      <c r="DM69" s="49">
        <v>0.36410256410256397</v>
      </c>
      <c r="DN69" s="49">
        <v>0.33846153846153898</v>
      </c>
      <c r="DO69" s="49">
        <v>0.56611721611721599</v>
      </c>
      <c r="DP69" s="49">
        <v>0.515384615384615</v>
      </c>
      <c r="DQ69" s="49">
        <v>0.60805860805860801</v>
      </c>
      <c r="DR69" s="49">
        <v>0.62472527472527495</v>
      </c>
      <c r="DS69" s="49">
        <v>2.21818181818182</v>
      </c>
      <c r="DT69" s="49">
        <v>2.21818181818182</v>
      </c>
      <c r="DU69" s="49">
        <v>2.3272727272727298</v>
      </c>
      <c r="DV69" s="49">
        <v>2.1818181818181799</v>
      </c>
      <c r="DW69" s="49">
        <v>1.3260869565217399</v>
      </c>
      <c r="DX69" s="49">
        <v>1.8181818181818199</v>
      </c>
      <c r="DY69" s="49">
        <v>1.3260869565217399</v>
      </c>
      <c r="DZ69" s="49">
        <v>1.34782608695652</v>
      </c>
      <c r="EA69" s="49">
        <v>43.797618460723797</v>
      </c>
      <c r="EB69" s="49">
        <v>10.3614014300605</v>
      </c>
      <c r="EC69" s="49">
        <v>4.54364583933015</v>
      </c>
      <c r="ED69" s="49">
        <v>2.3751963507857701</v>
      </c>
      <c r="EE69" s="49">
        <v>205.662257555823</v>
      </c>
      <c r="EF69" s="49">
        <v>58.378349757645097</v>
      </c>
      <c r="EG69" s="49">
        <v>12.1688601535385</v>
      </c>
      <c r="EH69" s="49">
        <v>4.9415178796770602</v>
      </c>
      <c r="EI69" s="49">
        <v>2.5542670703936499</v>
      </c>
      <c r="EJ69" s="49">
        <v>217.62989954724301</v>
      </c>
      <c r="EK69" s="49">
        <v>0.21295895017993599</v>
      </c>
      <c r="EL69" s="49">
        <v>5.0380665627226699E-2</v>
      </c>
      <c r="EM69" s="49">
        <v>2.20927548560866E-2</v>
      </c>
      <c r="EN69" s="49">
        <v>1.1549014286887699E-2</v>
      </c>
      <c r="EO69" s="49">
        <v>0.26824599873039101</v>
      </c>
      <c r="EP69" s="49">
        <v>5.5915387448390703E-2</v>
      </c>
      <c r="EQ69" s="49">
        <v>2.2706061483083802E-2</v>
      </c>
      <c r="ER69" s="49">
        <v>1.17367469989534E-2</v>
      </c>
    </row>
    <row r="70" spans="1:148" ht="28" customHeight="1">
      <c r="A70" s="9">
        <v>14</v>
      </c>
      <c r="B70" s="9">
        <f t="shared" si="6"/>
        <v>69</v>
      </c>
      <c r="C70">
        <v>69</v>
      </c>
      <c r="D70" s="20" t="s">
        <v>99</v>
      </c>
      <c r="E70" s="20">
        <v>67102263</v>
      </c>
      <c r="F70" s="37">
        <v>29.571428571428573</v>
      </c>
      <c r="G70" s="9">
        <v>2</v>
      </c>
      <c r="H70" s="23" t="s">
        <v>62</v>
      </c>
      <c r="I70" s="24">
        <f t="shared" si="7"/>
        <v>42</v>
      </c>
      <c r="J70" s="25" t="s">
        <v>229</v>
      </c>
      <c r="K70" s="9">
        <v>2</v>
      </c>
      <c r="M70" s="23" t="s">
        <v>44</v>
      </c>
      <c r="N70" s="17">
        <v>9060</v>
      </c>
      <c r="O70" s="45">
        <v>6.2251655629139071</v>
      </c>
      <c r="P70" s="17">
        <v>2</v>
      </c>
      <c r="Q70" s="17">
        <v>1</v>
      </c>
      <c r="R70" s="18">
        <v>45494</v>
      </c>
      <c r="S70" s="9">
        <v>2</v>
      </c>
      <c r="T70" s="9">
        <v>5</v>
      </c>
      <c r="U70" s="9">
        <v>39</v>
      </c>
      <c r="V70" s="9">
        <v>44</v>
      </c>
      <c r="W70" s="9">
        <v>8</v>
      </c>
      <c r="X70" s="9">
        <v>28</v>
      </c>
      <c r="Y70" s="9">
        <v>7</v>
      </c>
      <c r="Z70" s="9">
        <v>14</v>
      </c>
      <c r="AA70" s="9">
        <v>2</v>
      </c>
      <c r="AB70" s="9">
        <v>1</v>
      </c>
      <c r="AC70" s="9">
        <v>8</v>
      </c>
      <c r="AD70" s="9">
        <v>10</v>
      </c>
      <c r="AE70" s="9">
        <v>1</v>
      </c>
      <c r="AF70" s="9">
        <v>2</v>
      </c>
      <c r="AG70" s="9">
        <v>2</v>
      </c>
      <c r="AH70" s="9">
        <v>2</v>
      </c>
      <c r="AI70" s="9">
        <v>1</v>
      </c>
      <c r="AJ70" s="9">
        <v>1</v>
      </c>
      <c r="AK70" s="9">
        <v>2</v>
      </c>
      <c r="AL70" s="9">
        <v>35</v>
      </c>
      <c r="AM70" s="9">
        <v>3</v>
      </c>
      <c r="AN70" s="9">
        <v>1</v>
      </c>
      <c r="AO70" s="17" t="s">
        <v>324</v>
      </c>
      <c r="AQ70" s="17" t="s">
        <v>360</v>
      </c>
      <c r="AR70" s="9" t="s">
        <v>169</v>
      </c>
      <c r="AS70" s="9">
        <v>1</v>
      </c>
      <c r="AT70" s="9">
        <v>2</v>
      </c>
      <c r="AU70" s="9">
        <v>1</v>
      </c>
      <c r="AV70" s="9">
        <v>38</v>
      </c>
      <c r="AW70" s="9">
        <v>6</v>
      </c>
      <c r="AX70" s="37">
        <f t="shared" si="8"/>
        <v>38.857142857142854</v>
      </c>
      <c r="AY70" s="9">
        <v>1085</v>
      </c>
      <c r="AZ70" s="9">
        <v>2</v>
      </c>
      <c r="BA70" s="9">
        <v>3</v>
      </c>
      <c r="BB70" s="9">
        <v>41</v>
      </c>
      <c r="BC70" s="9">
        <v>4</v>
      </c>
      <c r="BD70" s="9">
        <v>27</v>
      </c>
      <c r="BE70" s="9">
        <v>3</v>
      </c>
      <c r="BF70" s="9">
        <v>2400</v>
      </c>
      <c r="BG70" s="9">
        <v>2</v>
      </c>
      <c r="BH70" s="9">
        <v>48.5</v>
      </c>
      <c r="BI70" s="9">
        <v>3</v>
      </c>
      <c r="BJ70" s="9">
        <v>33</v>
      </c>
      <c r="BK70" s="9">
        <v>3</v>
      </c>
      <c r="BL70" s="9">
        <v>1</v>
      </c>
      <c r="BN70" s="9">
        <v>2</v>
      </c>
      <c r="BO70" s="9">
        <v>2</v>
      </c>
      <c r="BP70" s="9">
        <v>1</v>
      </c>
      <c r="BR70" s="9" t="s">
        <v>325</v>
      </c>
      <c r="BS70" s="9">
        <v>1</v>
      </c>
      <c r="BT70" s="42">
        <v>45450</v>
      </c>
      <c r="BU70" s="18">
        <v>45515</v>
      </c>
      <c r="BV70" s="9">
        <v>1</v>
      </c>
      <c r="BW70" s="9">
        <v>1</v>
      </c>
      <c r="BX70" s="9">
        <v>0</v>
      </c>
      <c r="BY70" s="9">
        <v>2</v>
      </c>
      <c r="BZ70" s="9">
        <v>0</v>
      </c>
      <c r="CA70" s="9">
        <v>1</v>
      </c>
      <c r="CB70" s="18">
        <v>45450</v>
      </c>
      <c r="CC70" s="18">
        <v>45496</v>
      </c>
      <c r="CD70" s="9">
        <v>47</v>
      </c>
      <c r="CE70" s="49">
        <v>0.298164794209412</v>
      </c>
      <c r="CF70" s="49">
        <v>0.217775901427324</v>
      </c>
      <c r="CG70" s="49">
        <v>0.21934212167765599</v>
      </c>
      <c r="CH70" s="49">
        <v>0.26638195961970101</v>
      </c>
      <c r="CI70" s="49">
        <v>0.417299844472941</v>
      </c>
      <c r="CJ70" s="49">
        <v>0.368576238527967</v>
      </c>
      <c r="CK70" s="49">
        <v>0.36293606861616901</v>
      </c>
      <c r="CL70" s="49">
        <v>0.35844650163212999</v>
      </c>
      <c r="CM70" s="49">
        <v>0.45817470243792402</v>
      </c>
      <c r="CN70" s="49">
        <v>0.42608802108467497</v>
      </c>
      <c r="CO70" s="49">
        <v>0.34511719834538601</v>
      </c>
      <c r="CP70" s="49">
        <v>0.279851172855269</v>
      </c>
      <c r="CQ70" s="49">
        <v>0.52939542445405796</v>
      </c>
      <c r="CR70" s="49">
        <v>0.54860180044380902</v>
      </c>
      <c r="CS70" s="49">
        <v>0.54357019044150401</v>
      </c>
      <c r="CT70" s="49">
        <v>0.53550488750170699</v>
      </c>
      <c r="CU70" s="49">
        <v>0.55575757575757601</v>
      </c>
      <c r="CV70" s="49">
        <v>0.66441441441441496</v>
      </c>
      <c r="CW70" s="49">
        <v>0.65170940170940195</v>
      </c>
      <c r="CX70" s="49">
        <v>0.50216450216450204</v>
      </c>
      <c r="CY70" s="49">
        <v>0.63055555555555498</v>
      </c>
      <c r="CZ70" s="49">
        <v>0.64358974358974297</v>
      </c>
      <c r="DA70" s="49">
        <v>0.64572649572649599</v>
      </c>
      <c r="DB70" s="49">
        <v>0.64572649572649599</v>
      </c>
      <c r="DC70" s="49">
        <v>0.58693719971733704</v>
      </c>
      <c r="DD70" s="49">
        <v>0.61713239431505196</v>
      </c>
      <c r="DE70" s="49">
        <v>0.49814826192634898</v>
      </c>
      <c r="DF70" s="49">
        <v>0.40745002023015803</v>
      </c>
      <c r="DG70" s="49">
        <v>0.76850362181208198</v>
      </c>
      <c r="DH70" s="49">
        <v>0.93459852330110105</v>
      </c>
      <c r="DI70" s="49">
        <v>0.94117671302968398</v>
      </c>
      <c r="DJ70" s="49">
        <v>0.93781279488717795</v>
      </c>
      <c r="DK70" s="49">
        <v>0.55641025641025599</v>
      </c>
      <c r="DL70" s="49">
        <v>0.517948717948718</v>
      </c>
      <c r="DM70" s="49">
        <v>0.42820512820512802</v>
      </c>
      <c r="DN70" s="49">
        <v>0.37692307692307703</v>
      </c>
      <c r="DO70" s="49">
        <v>0.62307692307692297</v>
      </c>
      <c r="DP70" s="49">
        <v>0.70952380952381</v>
      </c>
      <c r="DQ70" s="49">
        <v>0.73553113553113603</v>
      </c>
      <c r="DR70" s="49">
        <v>0.72527472527472503</v>
      </c>
      <c r="DS70" s="49">
        <v>2.3636363636363602</v>
      </c>
      <c r="DT70" s="49">
        <v>1.91891891891892</v>
      </c>
      <c r="DU70" s="49">
        <v>1.94871794871795</v>
      </c>
      <c r="DV70" s="49">
        <v>2.7727272727272698</v>
      </c>
      <c r="DW70" s="49">
        <v>2.12820512820513</v>
      </c>
      <c r="DX70" s="49">
        <v>1.9871794871794899</v>
      </c>
      <c r="DY70" s="49">
        <v>1.97435897435897</v>
      </c>
      <c r="DZ70" s="49">
        <v>1.97435897435897</v>
      </c>
      <c r="EA70" s="49">
        <v>16.877568922867098</v>
      </c>
      <c r="EB70" s="49">
        <v>3.1860168878600201</v>
      </c>
      <c r="EC70" s="49">
        <v>1.4819488059169501</v>
      </c>
      <c r="ED70" s="49">
        <v>0.81848017274573504</v>
      </c>
      <c r="EE70" s="49">
        <v>88.598186488495003</v>
      </c>
      <c r="EF70" s="49">
        <v>28.049466448214201</v>
      </c>
      <c r="EG70" s="49">
        <v>5.2935432445035904</v>
      </c>
      <c r="EH70" s="49">
        <v>2.3917618801025999</v>
      </c>
      <c r="EI70" s="49">
        <v>1.5902383554178301</v>
      </c>
      <c r="EJ70" s="49">
        <v>140.361560721084</v>
      </c>
      <c r="EK70" s="49">
        <v>0.19049564773042801</v>
      </c>
      <c r="EL70" s="49">
        <v>3.5960294607991099E-2</v>
      </c>
      <c r="EM70" s="49">
        <v>1.6726626860577899E-2</v>
      </c>
      <c r="EN70" s="49">
        <v>9.2381142908835798E-3</v>
      </c>
      <c r="EO70" s="49">
        <v>0.199837236805538</v>
      </c>
      <c r="EP70" s="49">
        <v>3.7713624850770303E-2</v>
      </c>
      <c r="EQ70" s="49">
        <v>1.7040006308104001E-2</v>
      </c>
      <c r="ER70" s="49">
        <v>1.1329585872715001E-2</v>
      </c>
    </row>
    <row r="71" spans="1:148" ht="28" customHeight="1">
      <c r="A71" s="9">
        <v>45</v>
      </c>
      <c r="B71" s="9">
        <f t="shared" si="6"/>
        <v>70</v>
      </c>
      <c r="C71">
        <v>70</v>
      </c>
      <c r="D71" s="9" t="s">
        <v>90</v>
      </c>
      <c r="E71" s="9">
        <v>67162824</v>
      </c>
      <c r="F71" s="37">
        <v>31.714285714285715</v>
      </c>
      <c r="G71" s="9">
        <v>2</v>
      </c>
      <c r="H71" s="20" t="s">
        <v>48</v>
      </c>
      <c r="I71" s="20">
        <f t="shared" si="7"/>
        <v>49</v>
      </c>
      <c r="J71" s="20" t="s">
        <v>546</v>
      </c>
      <c r="K71" s="9">
        <v>1</v>
      </c>
      <c r="L71" s="9">
        <v>1</v>
      </c>
      <c r="M71" s="20" t="s">
        <v>12</v>
      </c>
      <c r="N71" s="17">
        <v>6848</v>
      </c>
      <c r="O71" s="45">
        <v>0</v>
      </c>
      <c r="P71" s="17">
        <v>1</v>
      </c>
      <c r="Q71" s="17">
        <v>1</v>
      </c>
      <c r="R71" s="18">
        <v>45527</v>
      </c>
      <c r="S71" s="9">
        <v>1</v>
      </c>
      <c r="T71" s="9">
        <v>0</v>
      </c>
      <c r="U71" s="9">
        <v>18</v>
      </c>
      <c r="V71" s="9">
        <v>18</v>
      </c>
      <c r="W71" s="9">
        <v>7</v>
      </c>
      <c r="X71" s="9">
        <v>14</v>
      </c>
      <c r="Y71" s="9">
        <v>0</v>
      </c>
      <c r="Z71" s="9">
        <v>19</v>
      </c>
      <c r="AA71" s="9">
        <v>1</v>
      </c>
      <c r="AB71" s="9">
        <v>2</v>
      </c>
      <c r="AC71" s="9">
        <v>8</v>
      </c>
      <c r="AD71" s="9">
        <v>9</v>
      </c>
      <c r="AE71" s="9">
        <v>1</v>
      </c>
      <c r="AF71" s="9">
        <v>2</v>
      </c>
      <c r="AG71" s="9">
        <v>1</v>
      </c>
      <c r="AH71" s="9">
        <v>2</v>
      </c>
      <c r="AI71" s="9">
        <v>2</v>
      </c>
      <c r="AJ71" s="9">
        <v>2</v>
      </c>
      <c r="AK71" s="9">
        <v>1</v>
      </c>
      <c r="AL71" s="9">
        <v>36</v>
      </c>
      <c r="AM71" s="9">
        <v>2</v>
      </c>
      <c r="AN71" s="9">
        <v>1</v>
      </c>
      <c r="AO71" s="17" t="s">
        <v>395</v>
      </c>
      <c r="AP71" s="31" t="s">
        <v>396</v>
      </c>
      <c r="AQ71" s="9" t="s">
        <v>137</v>
      </c>
      <c r="AR71" s="9" t="s">
        <v>136</v>
      </c>
      <c r="AS71" s="9">
        <v>1</v>
      </c>
      <c r="AT71" s="9">
        <v>2</v>
      </c>
      <c r="AU71" s="9">
        <v>1</v>
      </c>
      <c r="AV71" s="9">
        <v>38</v>
      </c>
      <c r="AW71" s="9">
        <v>5</v>
      </c>
      <c r="AX71" s="37">
        <f t="shared" si="8"/>
        <v>38.714285714285715</v>
      </c>
      <c r="AY71" s="9">
        <v>1195</v>
      </c>
      <c r="AZ71" s="9">
        <v>2</v>
      </c>
      <c r="BA71" s="9">
        <v>2</v>
      </c>
      <c r="BB71" s="9">
        <v>39</v>
      </c>
      <c r="BC71" s="9">
        <v>2</v>
      </c>
      <c r="BD71" s="9">
        <v>26</v>
      </c>
      <c r="BE71" s="9">
        <v>1</v>
      </c>
      <c r="BF71" s="9">
        <v>2170</v>
      </c>
      <c r="BG71" s="9">
        <v>1</v>
      </c>
      <c r="BH71" s="9">
        <v>43</v>
      </c>
      <c r="BI71" s="9">
        <v>1</v>
      </c>
      <c r="BJ71" s="9">
        <v>31</v>
      </c>
      <c r="BK71" s="9">
        <v>1</v>
      </c>
      <c r="BL71" s="9">
        <v>1</v>
      </c>
      <c r="BN71" s="9">
        <v>2</v>
      </c>
      <c r="BO71" s="9">
        <v>2</v>
      </c>
      <c r="BP71" s="9">
        <v>2</v>
      </c>
      <c r="BQ71" s="9">
        <v>1</v>
      </c>
      <c r="BR71" s="9">
        <v>1</v>
      </c>
      <c r="BS71" s="9">
        <v>1</v>
      </c>
      <c r="BT71" s="42">
        <v>45506</v>
      </c>
      <c r="BU71" s="32">
        <v>45547</v>
      </c>
      <c r="BV71" s="9">
        <v>1</v>
      </c>
      <c r="BW71" s="9">
        <v>1</v>
      </c>
      <c r="BX71" s="9">
        <v>0</v>
      </c>
      <c r="BY71" s="9">
        <v>2</v>
      </c>
      <c r="BZ71" s="9">
        <v>35</v>
      </c>
      <c r="CA71" s="9">
        <v>1</v>
      </c>
      <c r="CB71" s="18">
        <v>45506</v>
      </c>
      <c r="CC71" s="18">
        <v>45506</v>
      </c>
      <c r="CD71" s="9">
        <v>1</v>
      </c>
      <c r="CE71" s="49">
        <v>0.26080612746376802</v>
      </c>
      <c r="CF71" s="49">
        <v>0.198997385292565</v>
      </c>
      <c r="CG71" s="49">
        <v>0.21495978075337099</v>
      </c>
      <c r="CH71" s="49">
        <v>0.16755395542200899</v>
      </c>
      <c r="CI71" s="49">
        <v>0.36656338678045702</v>
      </c>
      <c r="CJ71" s="49">
        <v>0.343899779806773</v>
      </c>
      <c r="CK71" s="49">
        <v>0.32002572731114098</v>
      </c>
      <c r="CL71" s="49">
        <v>0.30371759038771301</v>
      </c>
      <c r="CM71" s="49">
        <v>0.26348602972381702</v>
      </c>
      <c r="CN71" s="49">
        <v>0.327316999465045</v>
      </c>
      <c r="CO71" s="49">
        <v>0.292019722851594</v>
      </c>
      <c r="CP71" s="49">
        <v>0.29234787857885702</v>
      </c>
      <c r="CQ71" s="49">
        <v>0.49458380463871898</v>
      </c>
      <c r="CR71" s="49">
        <v>0.45479442783343699</v>
      </c>
      <c r="CS71" s="49">
        <v>0.46896141401263403</v>
      </c>
      <c r="CT71" s="49">
        <v>0.40276965574725598</v>
      </c>
      <c r="CU71" s="49">
        <v>0.56787878787878798</v>
      </c>
      <c r="CV71" s="49">
        <v>0.69444444444444398</v>
      </c>
      <c r="CW71" s="49">
        <v>0.62222222222222201</v>
      </c>
      <c r="CX71" s="49">
        <v>0.75862068965517204</v>
      </c>
      <c r="CY71" s="49">
        <v>0.75757575757575801</v>
      </c>
      <c r="CZ71" s="49">
        <v>0.77272727272727304</v>
      </c>
      <c r="DA71" s="49">
        <v>0.77878787878787903</v>
      </c>
      <c r="DB71" s="49">
        <v>0.77272727272727304</v>
      </c>
      <c r="DC71" s="49">
        <v>0.38437309715323498</v>
      </c>
      <c r="DD71" s="49">
        <v>0.515796461506143</v>
      </c>
      <c r="DE71" s="49">
        <v>0.47961234006056003</v>
      </c>
      <c r="DF71" s="49">
        <v>0.47832651932332598</v>
      </c>
      <c r="DG71" s="49">
        <v>0.70872233719631705</v>
      </c>
      <c r="DH71" s="49">
        <v>0.71268485409895499</v>
      </c>
      <c r="DI71" s="49">
        <v>0.79874231323897205</v>
      </c>
      <c r="DJ71" s="49">
        <v>0.71740267999606899</v>
      </c>
      <c r="DK71" s="49">
        <v>0.35384615384615398</v>
      </c>
      <c r="DL71" s="49">
        <v>0.43846153846153801</v>
      </c>
      <c r="DM71" s="49">
        <v>0.43076923076923102</v>
      </c>
      <c r="DN71" s="49">
        <v>0.39743589743589702</v>
      </c>
      <c r="DO71" s="49">
        <v>0.633699633699634</v>
      </c>
      <c r="DP71" s="49">
        <v>0.58369963369963396</v>
      </c>
      <c r="DQ71" s="49">
        <v>0.62301587301587302</v>
      </c>
      <c r="DR71" s="49">
        <v>0.60567765567765597</v>
      </c>
      <c r="DS71" s="49">
        <v>2.2727272727272698</v>
      </c>
      <c r="DT71" s="49">
        <v>1.7222222222222201</v>
      </c>
      <c r="DU71" s="49">
        <v>2.0222222222222199</v>
      </c>
      <c r="DV71" s="49">
        <v>1.55172413793103</v>
      </c>
      <c r="DW71" s="49">
        <v>1.58181818181818</v>
      </c>
      <c r="DX71" s="49">
        <v>1.4909090909090901</v>
      </c>
      <c r="DY71" s="49">
        <v>1.4545454545454499</v>
      </c>
      <c r="DZ71" s="49">
        <v>1.4909090909090901</v>
      </c>
      <c r="EA71" s="49">
        <v>49.848268481634101</v>
      </c>
      <c r="EB71" s="49">
        <v>15.9404726560788</v>
      </c>
      <c r="EC71" s="49">
        <v>6.5225055624683002</v>
      </c>
      <c r="ED71" s="49">
        <v>1.92726015944042</v>
      </c>
      <c r="EE71" s="49">
        <v>201.335107298472</v>
      </c>
      <c r="EF71" s="49">
        <v>53.100236013590496</v>
      </c>
      <c r="EG71" s="49">
        <v>13.783327376622401</v>
      </c>
      <c r="EH71" s="49">
        <v>5.0851614130320897</v>
      </c>
      <c r="EI71" s="49">
        <v>2.09498339611822</v>
      </c>
      <c r="EJ71" s="49">
        <v>206.47655663930399</v>
      </c>
      <c r="EK71" s="49">
        <v>0.24758855596771701</v>
      </c>
      <c r="EL71" s="49">
        <v>7.9173835452589797E-2</v>
      </c>
      <c r="EM71" s="49">
        <v>3.23962653607099E-2</v>
      </c>
      <c r="EN71" s="49">
        <v>9.5723998924009193E-3</v>
      </c>
      <c r="EO71" s="49">
        <v>0.25717319621109302</v>
      </c>
      <c r="EP71" s="49">
        <v>6.6754926568737105E-2</v>
      </c>
      <c r="EQ71" s="49">
        <v>2.4628274976105001E-2</v>
      </c>
      <c r="ER71" s="49">
        <v>1.01463499305539E-2</v>
      </c>
    </row>
    <row r="72" spans="1:148" ht="28" customHeight="1">
      <c r="A72" s="9">
        <v>55</v>
      </c>
      <c r="B72" s="9">
        <f t="shared" si="6"/>
        <v>71</v>
      </c>
      <c r="C72">
        <v>71</v>
      </c>
      <c r="D72" s="9" t="s">
        <v>4</v>
      </c>
      <c r="E72" s="9">
        <v>67206571</v>
      </c>
      <c r="F72" s="37">
        <v>32.571428571428569</v>
      </c>
      <c r="G72" s="20">
        <v>3</v>
      </c>
      <c r="H72" s="9" t="s">
        <v>21</v>
      </c>
      <c r="I72" s="9">
        <f t="shared" si="7"/>
        <v>24</v>
      </c>
      <c r="J72" s="9" t="s">
        <v>542</v>
      </c>
      <c r="K72" s="9">
        <v>1</v>
      </c>
      <c r="L72" s="9">
        <v>1</v>
      </c>
      <c r="M72" s="9" t="s">
        <v>36</v>
      </c>
      <c r="N72" s="17">
        <v>4984</v>
      </c>
      <c r="O72" s="45">
        <v>0</v>
      </c>
      <c r="P72" s="17">
        <v>1</v>
      </c>
      <c r="Q72" s="17">
        <v>1</v>
      </c>
      <c r="R72" s="18">
        <v>45567</v>
      </c>
      <c r="S72" s="9">
        <v>2</v>
      </c>
      <c r="T72" s="9">
        <v>2</v>
      </c>
      <c r="U72" s="9">
        <v>13</v>
      </c>
      <c r="V72" s="9">
        <v>15</v>
      </c>
      <c r="W72" s="9">
        <v>8</v>
      </c>
      <c r="X72" s="9">
        <v>0</v>
      </c>
      <c r="Y72" s="9">
        <v>7</v>
      </c>
      <c r="Z72" s="9">
        <v>6</v>
      </c>
      <c r="AA72" s="9">
        <v>1</v>
      </c>
      <c r="AB72" s="9">
        <v>1</v>
      </c>
      <c r="AC72" s="9">
        <v>8</v>
      </c>
      <c r="AD72" s="9">
        <v>10</v>
      </c>
      <c r="AE72" s="9">
        <v>1</v>
      </c>
      <c r="AF72" s="9">
        <v>2</v>
      </c>
      <c r="AG72" s="9">
        <v>1</v>
      </c>
      <c r="AH72" s="9">
        <v>2</v>
      </c>
      <c r="AI72" s="9">
        <v>1</v>
      </c>
      <c r="AJ72" s="9">
        <v>1</v>
      </c>
      <c r="AK72" s="9">
        <v>2</v>
      </c>
      <c r="AL72" s="9">
        <v>34</v>
      </c>
      <c r="AM72" s="9">
        <v>3</v>
      </c>
      <c r="AN72" s="9">
        <v>1</v>
      </c>
      <c r="AO72" s="9">
        <v>1</v>
      </c>
      <c r="AP72" s="31" t="s">
        <v>406</v>
      </c>
      <c r="AQ72" s="31" t="s">
        <v>407</v>
      </c>
      <c r="AR72" s="9" t="s">
        <v>193</v>
      </c>
      <c r="AS72" s="9">
        <v>1</v>
      </c>
      <c r="AT72" s="9">
        <v>2</v>
      </c>
      <c r="AU72" s="9">
        <v>1</v>
      </c>
      <c r="AV72" s="9">
        <v>36</v>
      </c>
      <c r="AW72" s="9">
        <v>5</v>
      </c>
      <c r="AX72" s="37">
        <f t="shared" si="8"/>
        <v>36.714285714285715</v>
      </c>
      <c r="AY72" s="9">
        <v>1830</v>
      </c>
      <c r="AZ72" s="9">
        <v>3</v>
      </c>
      <c r="BA72" s="9">
        <v>4</v>
      </c>
      <c r="BB72" s="9">
        <v>44</v>
      </c>
      <c r="BC72" s="9">
        <v>4</v>
      </c>
      <c r="BD72" s="9">
        <v>29</v>
      </c>
      <c r="BE72" s="9">
        <v>4</v>
      </c>
      <c r="BF72" s="9">
        <v>2165</v>
      </c>
      <c r="BG72" s="9">
        <v>3</v>
      </c>
      <c r="BH72" s="9">
        <v>49</v>
      </c>
      <c r="BI72" s="9">
        <v>4</v>
      </c>
      <c r="BJ72" s="9">
        <v>33</v>
      </c>
      <c r="BK72" s="9">
        <v>4</v>
      </c>
      <c r="BL72" s="9">
        <v>1</v>
      </c>
      <c r="BN72" s="9">
        <v>1</v>
      </c>
      <c r="BP72" s="9">
        <v>1</v>
      </c>
      <c r="BR72" s="9">
        <v>2</v>
      </c>
      <c r="BS72" s="9">
        <v>1</v>
      </c>
      <c r="BT72" s="42">
        <v>45553</v>
      </c>
      <c r="BU72" s="35">
        <v>45581</v>
      </c>
      <c r="BV72" s="9">
        <v>1</v>
      </c>
      <c r="BW72" s="9">
        <v>1</v>
      </c>
      <c r="BX72" s="9">
        <v>0</v>
      </c>
      <c r="BY72" s="9">
        <v>1</v>
      </c>
      <c r="BZ72" s="9">
        <v>0</v>
      </c>
      <c r="CA72" s="9">
        <v>1</v>
      </c>
      <c r="CB72" s="18">
        <v>45553</v>
      </c>
      <c r="CC72" s="18">
        <v>45567</v>
      </c>
      <c r="CD72" s="9">
        <v>15</v>
      </c>
      <c r="CE72" s="49">
        <v>0.23803015476108999</v>
      </c>
      <c r="CF72" s="49">
        <v>0.222265446088033</v>
      </c>
      <c r="CG72" s="49">
        <v>0.22227640842416599</v>
      </c>
      <c r="CH72" s="49">
        <v>0.24369363067651001</v>
      </c>
      <c r="CI72" s="49">
        <v>0.43752089834990798</v>
      </c>
      <c r="CJ72" s="49">
        <v>0.41421530457427203</v>
      </c>
      <c r="CK72" s="49">
        <v>0.40757896771415603</v>
      </c>
      <c r="CL72" s="49">
        <v>0.39907638191320199</v>
      </c>
      <c r="CM72" s="49">
        <v>0.316018293808142</v>
      </c>
      <c r="CN72" s="49">
        <v>0.320082937396727</v>
      </c>
      <c r="CO72" s="49">
        <v>0.32056641704882499</v>
      </c>
      <c r="CP72" s="49">
        <v>0.28825020812333202</v>
      </c>
      <c r="CQ72" s="49">
        <v>0.54363142874058501</v>
      </c>
      <c r="CR72" s="49">
        <v>0.483032958304972</v>
      </c>
      <c r="CS72" s="49">
        <v>0.478179154251823</v>
      </c>
      <c r="CT72" s="49">
        <v>0.43984973829187601</v>
      </c>
      <c r="CU72" s="49">
        <v>0.68468468468468502</v>
      </c>
      <c r="CV72" s="49">
        <v>0.69907407407407396</v>
      </c>
      <c r="CW72" s="49">
        <v>0.70370370370370405</v>
      </c>
      <c r="CX72" s="49">
        <v>0.64814814814814803</v>
      </c>
      <c r="CY72" s="49">
        <v>0.67521367521367504</v>
      </c>
      <c r="CZ72" s="49">
        <v>0.66025641025641002</v>
      </c>
      <c r="DA72" s="49">
        <v>0.66025641025641002</v>
      </c>
      <c r="DB72" s="49">
        <v>0.67200854700854695</v>
      </c>
      <c r="DC72" s="49">
        <v>0.42671271933190902</v>
      </c>
      <c r="DD72" s="49">
        <v>0.45640271749989098</v>
      </c>
      <c r="DE72" s="49">
        <v>0.46035975559991499</v>
      </c>
      <c r="DF72" s="49">
        <v>0.431273601070919</v>
      </c>
      <c r="DG72" s="49">
        <v>0.84469189666817501</v>
      </c>
      <c r="DH72" s="49">
        <v>0.77449212414647495</v>
      </c>
      <c r="DI72" s="49">
        <v>0.77462262605457</v>
      </c>
      <c r="DJ72" s="49">
        <v>0.73609438738469901</v>
      </c>
      <c r="DK72" s="49">
        <v>0.30769230769230799</v>
      </c>
      <c r="DL72" s="49">
        <v>0.39230769230769202</v>
      </c>
      <c r="DM72" s="49">
        <v>0.39597069597069601</v>
      </c>
      <c r="DN72" s="49">
        <v>0.37692307692307703</v>
      </c>
      <c r="DO72" s="49">
        <v>0.69682539682539701</v>
      </c>
      <c r="DP72" s="49">
        <v>0.59822954822954799</v>
      </c>
      <c r="DQ72" s="49">
        <v>0.59273504273504296</v>
      </c>
      <c r="DR72" s="49">
        <v>0.55372405372405398</v>
      </c>
      <c r="DS72" s="49">
        <v>1.7567567567567599</v>
      </c>
      <c r="DT72" s="49">
        <v>1.69444444444444</v>
      </c>
      <c r="DU72" s="49">
        <v>1.6666666666666701</v>
      </c>
      <c r="DV72" s="49">
        <v>1.82222222222222</v>
      </c>
      <c r="DW72" s="49">
        <v>1.7435897435897401</v>
      </c>
      <c r="DX72" s="49">
        <v>1.8589743589743599</v>
      </c>
      <c r="DY72" s="49">
        <v>1.8589743589743599</v>
      </c>
      <c r="DZ72" s="49">
        <v>1.7692307692307701</v>
      </c>
      <c r="EA72" s="49">
        <v>39.138357001326497</v>
      </c>
      <c r="EB72" s="49">
        <v>10.2015239190833</v>
      </c>
      <c r="EC72" s="49">
        <v>4.2373008729131696</v>
      </c>
      <c r="ED72" s="49">
        <v>2.1073969719910099</v>
      </c>
      <c r="EE72" s="49">
        <v>228.74611458835901</v>
      </c>
      <c r="EF72" s="49">
        <v>40.0193634970368</v>
      </c>
      <c r="EG72" s="49">
        <v>10.482559629162401</v>
      </c>
      <c r="EH72" s="49">
        <v>4.6030200114950697</v>
      </c>
      <c r="EI72" s="49">
        <v>2.88923883789333</v>
      </c>
      <c r="EJ72" s="49">
        <v>165.51142656694199</v>
      </c>
      <c r="EK72" s="49">
        <v>0.171099548824067</v>
      </c>
      <c r="EL72" s="49">
        <v>4.4597583383837902E-2</v>
      </c>
      <c r="EM72" s="49">
        <v>1.8524034301253298E-2</v>
      </c>
      <c r="EN72" s="49">
        <v>9.2128208419338196E-3</v>
      </c>
      <c r="EO72" s="49">
        <v>0.24179214889946399</v>
      </c>
      <c r="EP72" s="49">
        <v>6.3334356102131006E-2</v>
      </c>
      <c r="EQ72" s="49">
        <v>2.78108895982076E-2</v>
      </c>
      <c r="ER72" s="49">
        <v>1.7456431243584002E-2</v>
      </c>
    </row>
    <row r="73" spans="1:148" ht="28" customHeight="1">
      <c r="B73" s="9">
        <f t="shared" si="6"/>
        <v>72</v>
      </c>
      <c r="C73">
        <v>72</v>
      </c>
      <c r="D73" s="46" t="s">
        <v>514</v>
      </c>
      <c r="E73" s="49">
        <v>67248928</v>
      </c>
      <c r="F73" s="48">
        <v>28.285714285714285</v>
      </c>
      <c r="G73" s="9">
        <v>2</v>
      </c>
      <c r="H73" s="56">
        <v>45642</v>
      </c>
      <c r="I73" s="1">
        <v>87</v>
      </c>
      <c r="J73" s="9">
        <v>40.714285714285715</v>
      </c>
      <c r="K73" s="49">
        <v>3</v>
      </c>
      <c r="L73" s="9">
        <v>2</v>
      </c>
      <c r="M73" s="56">
        <v>45555</v>
      </c>
      <c r="N73" s="49">
        <v>13250</v>
      </c>
      <c r="O73" s="62">
        <v>92.286792452830198</v>
      </c>
      <c r="P73" s="17">
        <v>5</v>
      </c>
      <c r="Q73" s="57">
        <v>2</v>
      </c>
      <c r="R73" s="58">
        <v>45613</v>
      </c>
      <c r="S73" s="57">
        <v>1</v>
      </c>
      <c r="T73" s="59">
        <v>0</v>
      </c>
      <c r="U73" s="59">
        <v>43</v>
      </c>
      <c r="V73" s="59">
        <v>43</v>
      </c>
      <c r="W73" s="59">
        <v>4</v>
      </c>
      <c r="X73" s="61">
        <v>0</v>
      </c>
      <c r="Y73" s="59"/>
      <c r="Z73" s="59">
        <v>13</v>
      </c>
      <c r="AA73" s="61">
        <v>2</v>
      </c>
      <c r="AB73" s="59">
        <v>1</v>
      </c>
      <c r="AC73" s="9">
        <v>8</v>
      </c>
      <c r="AD73" s="9">
        <v>9</v>
      </c>
      <c r="AE73" s="9">
        <v>1</v>
      </c>
      <c r="AF73" s="9">
        <v>2</v>
      </c>
      <c r="AG73" s="9">
        <v>1</v>
      </c>
      <c r="AH73" s="9">
        <v>2</v>
      </c>
      <c r="AI73" s="9">
        <v>1</v>
      </c>
      <c r="AJ73" s="9">
        <v>1</v>
      </c>
      <c r="AK73" s="9">
        <v>1</v>
      </c>
      <c r="AL73" s="9">
        <v>36</v>
      </c>
      <c r="AM73" s="9">
        <v>2</v>
      </c>
      <c r="AN73" s="9">
        <v>1</v>
      </c>
      <c r="AO73" s="9" t="s">
        <v>329</v>
      </c>
      <c r="AP73" s="43" t="s">
        <v>577</v>
      </c>
      <c r="AQ73" s="68" t="s">
        <v>578</v>
      </c>
      <c r="AR73" s="51" t="s">
        <v>555</v>
      </c>
      <c r="AS73" s="50">
        <v>1</v>
      </c>
      <c r="AT73" s="9">
        <v>2</v>
      </c>
      <c r="AU73" s="9">
        <v>1</v>
      </c>
      <c r="AV73" s="9">
        <v>40</v>
      </c>
      <c r="AW73" s="9">
        <v>6</v>
      </c>
      <c r="AY73" s="9">
        <v>1040</v>
      </c>
      <c r="AZ73" s="9">
        <v>2</v>
      </c>
      <c r="BA73" s="9">
        <v>4</v>
      </c>
      <c r="BB73" s="9">
        <v>42</v>
      </c>
      <c r="BC73" s="9">
        <v>2</v>
      </c>
      <c r="BD73" s="9">
        <v>29</v>
      </c>
      <c r="BE73" s="9">
        <v>1</v>
      </c>
      <c r="BF73" s="9">
        <v>2110</v>
      </c>
      <c r="BG73" s="9">
        <v>1</v>
      </c>
      <c r="BH73" s="9">
        <v>46</v>
      </c>
      <c r="BI73" s="9">
        <v>1</v>
      </c>
      <c r="BJ73" s="9">
        <v>32</v>
      </c>
      <c r="BK73" s="9">
        <v>1</v>
      </c>
      <c r="BL73" s="9">
        <v>1</v>
      </c>
      <c r="BN73" s="9">
        <v>2</v>
      </c>
      <c r="BO73" s="9">
        <v>2</v>
      </c>
      <c r="BP73" s="9">
        <v>1</v>
      </c>
      <c r="BR73" s="9">
        <v>1</v>
      </c>
      <c r="BS73" s="9">
        <v>1</v>
      </c>
      <c r="BT73" s="53">
        <v>45606</v>
      </c>
      <c r="BU73" s="53">
        <v>45643</v>
      </c>
      <c r="BV73" s="51">
        <v>1</v>
      </c>
      <c r="BW73" s="51">
        <v>1</v>
      </c>
      <c r="BX73" s="51">
        <v>0</v>
      </c>
      <c r="BY73" s="51">
        <v>2</v>
      </c>
      <c r="BZ73" s="50">
        <v>37</v>
      </c>
      <c r="CA73" s="9">
        <v>1</v>
      </c>
      <c r="CB73" s="53">
        <v>45556</v>
      </c>
      <c r="CC73" s="53">
        <v>45582</v>
      </c>
      <c r="CD73" s="9">
        <v>26</v>
      </c>
      <c r="CE73" s="80">
        <v>0.27204148587441501</v>
      </c>
      <c r="CF73" s="80">
        <v>0.25619901878072998</v>
      </c>
      <c r="CG73" s="80">
        <v>0.24790233163223999</v>
      </c>
      <c r="CH73" s="80">
        <v>0.234472142413781</v>
      </c>
      <c r="CI73" s="80">
        <v>0.26779672223512702</v>
      </c>
      <c r="CJ73" s="80">
        <v>0.25621588113906402</v>
      </c>
      <c r="CK73" s="80">
        <v>0.21859126333851001</v>
      </c>
      <c r="CL73" s="80">
        <v>0.228940327004168</v>
      </c>
      <c r="CM73" s="80">
        <v>0.190655341846825</v>
      </c>
      <c r="CN73" s="80">
        <v>0.26687396332371999</v>
      </c>
      <c r="CO73" s="80">
        <v>0.212006350824335</v>
      </c>
      <c r="CP73" s="80">
        <v>0.20186398946765099</v>
      </c>
      <c r="CQ73" s="80">
        <v>0.21405926030754599</v>
      </c>
      <c r="CR73" s="80">
        <v>0.193398056003973</v>
      </c>
      <c r="CS73" s="80">
        <v>0.229934280457495</v>
      </c>
      <c r="CT73" s="80">
        <v>0.15395666301485</v>
      </c>
      <c r="CU73" s="80">
        <v>0.41346153846153899</v>
      </c>
      <c r="CV73" s="80">
        <v>0.43131868131868201</v>
      </c>
      <c r="CW73" s="80">
        <v>0.45020350020349997</v>
      </c>
      <c r="CX73" s="80">
        <v>0.45020350020349997</v>
      </c>
      <c r="CY73" s="80">
        <v>0.44081196581196602</v>
      </c>
      <c r="CZ73" s="80">
        <v>0.44592999592999599</v>
      </c>
      <c r="DA73" s="80">
        <v>0.38772893772893802</v>
      </c>
      <c r="DB73" s="80">
        <v>0.42972629222629299</v>
      </c>
      <c r="DC73" s="80">
        <v>0.28252077915485002</v>
      </c>
      <c r="DD73" s="80">
        <v>0.44217555398060898</v>
      </c>
      <c r="DE73" s="80">
        <v>0.37364594479330099</v>
      </c>
      <c r="DF73" s="80">
        <v>0.37364594479330099</v>
      </c>
      <c r="DG73" s="80">
        <v>0.35722591496870099</v>
      </c>
      <c r="DH73" s="80">
        <v>0.32564102564102598</v>
      </c>
      <c r="DI73" s="80">
        <v>0.39984098071239099</v>
      </c>
      <c r="DJ73" s="80">
        <v>0.28429233466585102</v>
      </c>
      <c r="DK73" s="80">
        <v>0.21538461538461501</v>
      </c>
      <c r="DL73" s="80">
        <v>0.36153846153846197</v>
      </c>
      <c r="DM73" s="80">
        <v>0.31794871794871798</v>
      </c>
      <c r="DN73" s="80">
        <v>0.31794871794871798</v>
      </c>
      <c r="DO73" s="80">
        <v>0.33076923076923098</v>
      </c>
      <c r="DP73" s="80">
        <v>0.32564102564102598</v>
      </c>
      <c r="DQ73" s="80">
        <v>0.28717948717948699</v>
      </c>
      <c r="DR73" s="80">
        <v>0.243589743589744</v>
      </c>
      <c r="DS73" s="80">
        <v>2.0909090909090899</v>
      </c>
      <c r="DT73" s="80">
        <v>2.6969696969696999</v>
      </c>
      <c r="DU73" s="80">
        <v>3.3589743589743599</v>
      </c>
      <c r="DV73" s="80">
        <v>3.3589743589743599</v>
      </c>
      <c r="DW73" s="80">
        <v>2.5303030303030298</v>
      </c>
      <c r="DX73" s="80">
        <v>3.4102564102564101</v>
      </c>
      <c r="DY73" s="80">
        <v>2.58928571428571</v>
      </c>
      <c r="DZ73" s="80">
        <v>3.6923076923076898</v>
      </c>
      <c r="EA73" s="80">
        <v>84.727113027458003</v>
      </c>
      <c r="EB73" s="80">
        <v>24.517378164617899</v>
      </c>
      <c r="EC73" s="80">
        <v>5.2258165108820203</v>
      </c>
      <c r="ED73" s="80">
        <v>2.2574301465128501</v>
      </c>
      <c r="EE73" s="80">
        <v>299.422017811221</v>
      </c>
      <c r="EF73" s="80">
        <v>84.242616939346306</v>
      </c>
      <c r="EG73" s="80">
        <v>29.110361489233401</v>
      </c>
      <c r="EH73" s="80">
        <v>7.0027156762871998</v>
      </c>
      <c r="EI73" s="80">
        <v>2.5090671181148099</v>
      </c>
      <c r="EJ73" s="80">
        <v>297.967969505398</v>
      </c>
      <c r="EK73" s="80">
        <v>0.282968880000256</v>
      </c>
      <c r="EL73" s="80">
        <v>8.18823490130762E-2</v>
      </c>
      <c r="EM73" s="80">
        <v>1.7453013472699199E-2</v>
      </c>
      <c r="EN73" s="80">
        <v>7.53929241080766E-3</v>
      </c>
      <c r="EO73" s="80">
        <v>0.28272373396100903</v>
      </c>
      <c r="EP73" s="80">
        <v>9.7696277682309804E-2</v>
      </c>
      <c r="EQ73" s="80">
        <v>2.3501571957251399E-2</v>
      </c>
      <c r="ER73" s="80">
        <v>8.4205934023031202E-3</v>
      </c>
    </row>
    <row r="74" spans="1:148" ht="28" customHeight="1">
      <c r="B74" s="9">
        <f t="shared" si="6"/>
        <v>73</v>
      </c>
      <c r="C74">
        <v>73</v>
      </c>
      <c r="D74" s="46" t="s">
        <v>515</v>
      </c>
      <c r="E74" s="49">
        <v>67251424</v>
      </c>
      <c r="F74" s="48">
        <v>34</v>
      </c>
      <c r="G74" s="9">
        <v>3</v>
      </c>
      <c r="H74" s="56">
        <v>45637</v>
      </c>
      <c r="I74" s="1">
        <v>28</v>
      </c>
      <c r="K74" s="49">
        <v>1</v>
      </c>
      <c r="L74" s="9">
        <v>1</v>
      </c>
      <c r="M74" s="56">
        <v>45609</v>
      </c>
      <c r="N74" s="49">
        <v>5112</v>
      </c>
      <c r="O74" s="62">
        <v>0</v>
      </c>
      <c r="P74" s="17">
        <v>1</v>
      </c>
      <c r="Q74" s="57">
        <v>1</v>
      </c>
      <c r="R74" s="58">
        <v>45628</v>
      </c>
      <c r="S74" s="57">
        <v>2</v>
      </c>
      <c r="T74" s="59">
        <v>0</v>
      </c>
      <c r="U74" s="59">
        <v>7</v>
      </c>
      <c r="V74" s="59">
        <v>7</v>
      </c>
      <c r="W74" s="59">
        <v>6</v>
      </c>
      <c r="X74" s="61">
        <v>0</v>
      </c>
      <c r="Y74" s="59">
        <v>14</v>
      </c>
      <c r="Z74" s="59">
        <v>7</v>
      </c>
      <c r="AA74" s="59">
        <v>1</v>
      </c>
      <c r="AB74" s="59">
        <v>1</v>
      </c>
      <c r="AC74" s="9">
        <v>10</v>
      </c>
      <c r="AD74" s="9">
        <v>10</v>
      </c>
      <c r="AE74" s="9">
        <v>1</v>
      </c>
      <c r="AF74" s="9">
        <v>2</v>
      </c>
      <c r="AG74" s="9">
        <v>1</v>
      </c>
      <c r="AH74" s="9">
        <v>2</v>
      </c>
      <c r="AI74" s="9">
        <v>1</v>
      </c>
      <c r="AJ74" s="9">
        <v>1</v>
      </c>
      <c r="AK74" s="9">
        <v>2</v>
      </c>
      <c r="AL74" s="9">
        <v>27</v>
      </c>
      <c r="AM74" s="9">
        <v>3</v>
      </c>
      <c r="AN74" s="9">
        <v>1</v>
      </c>
      <c r="AO74" s="9" t="s">
        <v>579</v>
      </c>
      <c r="AP74" s="69" t="s">
        <v>580</v>
      </c>
      <c r="AQ74" s="9" t="s">
        <v>556</v>
      </c>
      <c r="AR74" s="9" t="s">
        <v>557</v>
      </c>
      <c r="AS74" s="9">
        <v>1</v>
      </c>
      <c r="AT74" s="9">
        <v>2</v>
      </c>
      <c r="AU74" s="9">
        <v>1</v>
      </c>
      <c r="AV74" s="9">
        <v>38</v>
      </c>
      <c r="AW74" s="9">
        <v>0</v>
      </c>
      <c r="AY74" s="9">
        <v>1670</v>
      </c>
      <c r="AZ74" s="9">
        <v>3</v>
      </c>
      <c r="BA74" s="9">
        <v>3</v>
      </c>
      <c r="BB74" s="9">
        <v>40</v>
      </c>
      <c r="BC74" s="9">
        <v>2</v>
      </c>
      <c r="BD74" s="9">
        <v>32</v>
      </c>
      <c r="BE74" s="9">
        <v>3</v>
      </c>
      <c r="BF74" s="9">
        <v>2400</v>
      </c>
      <c r="BG74" s="9">
        <v>3</v>
      </c>
      <c r="BL74" s="9">
        <v>1</v>
      </c>
      <c r="BN74" s="9">
        <v>1</v>
      </c>
      <c r="BP74" s="9">
        <v>1</v>
      </c>
      <c r="BR74" s="9">
        <v>1</v>
      </c>
      <c r="BT74" s="53">
        <v>45609</v>
      </c>
      <c r="BU74" s="55">
        <v>45637</v>
      </c>
      <c r="BV74" s="51">
        <v>1</v>
      </c>
      <c r="BW74" s="51">
        <v>1</v>
      </c>
      <c r="BX74" s="51">
        <v>0</v>
      </c>
      <c r="BY74" s="51">
        <v>2</v>
      </c>
      <c r="BZ74" s="51">
        <v>35</v>
      </c>
      <c r="CA74" s="9">
        <v>1</v>
      </c>
      <c r="CB74" s="50"/>
      <c r="CC74" s="50"/>
      <c r="CD74" s="9">
        <v>0</v>
      </c>
      <c r="CE74" s="80">
        <v>0.25966611546347401</v>
      </c>
      <c r="CF74" s="80">
        <v>0.232303384430741</v>
      </c>
      <c r="CG74" s="80">
        <v>0.21796910743540601</v>
      </c>
      <c r="CH74" s="80">
        <v>0.206259835126265</v>
      </c>
      <c r="CI74" s="80">
        <v>0.200711610461902</v>
      </c>
      <c r="CJ74" s="80">
        <v>0.201194893484411</v>
      </c>
      <c r="CK74" s="80">
        <v>0.17231784830215</v>
      </c>
      <c r="CL74" s="80">
        <v>0.19856961680812599</v>
      </c>
      <c r="CM74" s="80">
        <v>0.30110983708094302</v>
      </c>
      <c r="CN74" s="80">
        <v>0.322680875874159</v>
      </c>
      <c r="CO74" s="80">
        <v>0.30146943848276903</v>
      </c>
      <c r="CP74" s="80">
        <v>0.28549534792855502</v>
      </c>
      <c r="CQ74" s="80">
        <v>0.26228234479151602</v>
      </c>
      <c r="CR74" s="80">
        <v>0.43260185464439699</v>
      </c>
      <c r="CS74" s="80">
        <v>0.41033656617405601</v>
      </c>
      <c r="CT74" s="80">
        <v>0.29607987623651</v>
      </c>
      <c r="CU74" s="80">
        <v>0.39871794871794902</v>
      </c>
      <c r="CV74" s="80">
        <v>0.41327838827838898</v>
      </c>
      <c r="CW74" s="80">
        <v>0.41541514041514099</v>
      </c>
      <c r="CX74" s="80">
        <v>0.41541514041514099</v>
      </c>
      <c r="CY74" s="80">
        <v>0.28846153846153799</v>
      </c>
      <c r="CZ74" s="80">
        <v>0.31709401709401702</v>
      </c>
      <c r="DA74" s="80">
        <v>0.28739316239316198</v>
      </c>
      <c r="DB74" s="80">
        <v>0.35064102564102601</v>
      </c>
      <c r="DC74" s="80">
        <v>0.45681340377195201</v>
      </c>
      <c r="DD74" s="80">
        <v>0.55840902156267602</v>
      </c>
      <c r="DE74" s="80">
        <v>0.55840902156267602</v>
      </c>
      <c r="DF74" s="80">
        <v>0.55840902156267602</v>
      </c>
      <c r="DG74" s="80">
        <v>0.36815716546471</v>
      </c>
      <c r="DH74" s="80">
        <v>0.67970627029349895</v>
      </c>
      <c r="DI74" s="80">
        <v>0.68731152158801201</v>
      </c>
      <c r="DJ74" s="80">
        <v>0.51746664871157499</v>
      </c>
      <c r="DK74" s="80">
        <v>0.38205128205128203</v>
      </c>
      <c r="DL74" s="80">
        <v>0.487179487179487</v>
      </c>
      <c r="DM74" s="80">
        <v>0.487179487179487</v>
      </c>
      <c r="DN74" s="80">
        <v>0.487179487179487</v>
      </c>
      <c r="DO74" s="80">
        <v>0.269230769230769</v>
      </c>
      <c r="DP74" s="80">
        <v>0.55128205128205099</v>
      </c>
      <c r="DQ74" s="80">
        <v>0.57692307692307698</v>
      </c>
      <c r="DR74" s="80">
        <v>0.36410256410256397</v>
      </c>
      <c r="DS74" s="80">
        <v>2.375</v>
      </c>
      <c r="DT74" s="80">
        <v>2.9696969696969702</v>
      </c>
      <c r="DU74" s="80">
        <v>2.9242424242424199</v>
      </c>
      <c r="DV74" s="80">
        <v>2.9242424242424199</v>
      </c>
      <c r="DW74" s="80">
        <v>1.44827586206897</v>
      </c>
      <c r="DX74" s="80">
        <v>2.12820512820513</v>
      </c>
      <c r="DY74" s="80">
        <v>1.7096774193548401</v>
      </c>
      <c r="DZ74" s="80">
        <v>2.2608695652173898</v>
      </c>
      <c r="EA74" s="80">
        <v>47.293193694614999</v>
      </c>
      <c r="EB74" s="80">
        <v>13.4280187355438</v>
      </c>
      <c r="EC74" s="80">
        <v>5.2678291131109196</v>
      </c>
      <c r="ED74" s="80">
        <v>2.8263256755256898</v>
      </c>
      <c r="EE74" s="80">
        <v>224.238750787257</v>
      </c>
      <c r="EF74" s="80">
        <v>47.220777996547099</v>
      </c>
      <c r="EG74" s="80">
        <v>11.7960917476776</v>
      </c>
      <c r="EH74" s="80">
        <v>4.7115644615211698</v>
      </c>
      <c r="EI74" s="80">
        <v>2.8201752413529602</v>
      </c>
      <c r="EJ74" s="80">
        <v>231.541944184355</v>
      </c>
      <c r="EK74" s="80">
        <v>0.210905534964756</v>
      </c>
      <c r="EL74" s="80">
        <v>5.9882686147691801E-2</v>
      </c>
      <c r="EM74" s="80">
        <v>2.3492055207302999E-2</v>
      </c>
      <c r="EN74" s="80">
        <v>1.2604091244724801E-2</v>
      </c>
      <c r="EO74" s="80">
        <v>0.203940491917739</v>
      </c>
      <c r="EP74" s="80">
        <v>5.0945809361804102E-2</v>
      </c>
      <c r="EQ74" s="80">
        <v>2.03486434309708E-2</v>
      </c>
      <c r="ER74" s="80">
        <v>1.2179975646691101E-2</v>
      </c>
    </row>
    <row r="75" spans="1:148" ht="28" customHeight="1">
      <c r="B75" s="9">
        <f t="shared" si="6"/>
        <v>74</v>
      </c>
      <c r="C75">
        <v>74</v>
      </c>
      <c r="D75" s="46" t="s">
        <v>516</v>
      </c>
      <c r="E75" s="49">
        <v>67223771</v>
      </c>
      <c r="F75" s="48">
        <v>30.714285714285715</v>
      </c>
      <c r="G75" s="9">
        <v>2</v>
      </c>
      <c r="H75" s="56">
        <v>45640</v>
      </c>
      <c r="I75" s="1">
        <v>71</v>
      </c>
      <c r="J75" s="9">
        <v>40.857142857142861</v>
      </c>
      <c r="K75" s="49">
        <v>2</v>
      </c>
      <c r="L75" s="49"/>
      <c r="M75" s="56">
        <v>45569</v>
      </c>
      <c r="N75" s="49">
        <v>12276</v>
      </c>
      <c r="O75" s="62">
        <f>0.100684261974585*100</f>
        <v>10.0684261974585</v>
      </c>
      <c r="P75" s="49">
        <v>2</v>
      </c>
      <c r="Q75" s="57">
        <v>1</v>
      </c>
      <c r="R75" s="58">
        <v>45636</v>
      </c>
      <c r="S75" s="57">
        <v>2</v>
      </c>
      <c r="T75" s="59">
        <v>5</v>
      </c>
      <c r="U75" s="59">
        <v>53</v>
      </c>
      <c r="V75" s="59">
        <v>58</v>
      </c>
      <c r="W75" s="59">
        <v>11</v>
      </c>
      <c r="X75" s="61">
        <v>23</v>
      </c>
      <c r="Y75" s="59">
        <v>7</v>
      </c>
      <c r="Z75" s="59">
        <v>21</v>
      </c>
      <c r="AA75" s="59">
        <v>2</v>
      </c>
      <c r="AB75" s="59">
        <v>1</v>
      </c>
      <c r="AC75" s="9">
        <v>8</v>
      </c>
      <c r="AD75" s="9">
        <v>9</v>
      </c>
      <c r="AE75" s="9">
        <v>1</v>
      </c>
      <c r="AF75" s="9">
        <v>2</v>
      </c>
      <c r="AG75" s="9">
        <v>1</v>
      </c>
      <c r="AH75" s="9">
        <v>2</v>
      </c>
      <c r="AI75" s="9">
        <v>2</v>
      </c>
      <c r="AJ75" s="9">
        <v>1</v>
      </c>
      <c r="AK75" s="9">
        <v>1</v>
      </c>
      <c r="AL75" s="9">
        <v>28</v>
      </c>
      <c r="AM75" s="9">
        <v>2</v>
      </c>
      <c r="AN75" s="9">
        <v>1</v>
      </c>
      <c r="AO75" s="9" t="s">
        <v>581</v>
      </c>
      <c r="AP75" s="43" t="s">
        <v>582</v>
      </c>
      <c r="AR75" s="9" t="s">
        <v>558</v>
      </c>
      <c r="AS75" s="9">
        <v>1</v>
      </c>
      <c r="AV75" s="9">
        <v>41</v>
      </c>
      <c r="AW75" s="9">
        <v>0</v>
      </c>
      <c r="AY75" s="9">
        <v>980</v>
      </c>
      <c r="AZ75" s="9">
        <v>1</v>
      </c>
      <c r="BA75" s="9">
        <v>1</v>
      </c>
      <c r="BB75" s="9">
        <v>35</v>
      </c>
      <c r="BC75" s="9">
        <v>1</v>
      </c>
      <c r="BD75" s="9">
        <v>29</v>
      </c>
      <c r="BE75" s="9">
        <v>1</v>
      </c>
      <c r="BF75" s="9">
        <v>2000</v>
      </c>
      <c r="BG75" s="9">
        <v>1</v>
      </c>
      <c r="BH75" s="9">
        <v>43</v>
      </c>
      <c r="BI75" s="9">
        <v>1</v>
      </c>
      <c r="BJ75" s="9">
        <v>33</v>
      </c>
      <c r="BK75" s="9">
        <v>1</v>
      </c>
      <c r="BL75" s="9">
        <v>1</v>
      </c>
      <c r="BN75" s="9">
        <v>2</v>
      </c>
      <c r="BO75" s="9">
        <v>3</v>
      </c>
      <c r="BP75" s="9">
        <v>1</v>
      </c>
      <c r="BR75" s="9">
        <v>1</v>
      </c>
      <c r="BS75" s="9">
        <v>1</v>
      </c>
      <c r="BT75" s="53">
        <v>45574</v>
      </c>
      <c r="BU75" s="53">
        <v>45652</v>
      </c>
      <c r="BV75" s="51">
        <v>2</v>
      </c>
      <c r="BW75" s="51">
        <v>1</v>
      </c>
      <c r="BX75" s="51">
        <v>0</v>
      </c>
      <c r="BY75" s="51">
        <v>2</v>
      </c>
      <c r="BZ75" s="51">
        <v>87</v>
      </c>
      <c r="CA75" s="9">
        <v>2</v>
      </c>
      <c r="CB75" s="53">
        <v>45574</v>
      </c>
      <c r="CC75" s="53">
        <v>45590</v>
      </c>
      <c r="CD75" s="9">
        <v>16</v>
      </c>
      <c r="CE75" s="80">
        <v>0.30936488844617499</v>
      </c>
      <c r="CF75" s="80">
        <v>0.27359330251904201</v>
      </c>
      <c r="CG75" s="80">
        <v>0.27336027864676599</v>
      </c>
      <c r="CH75" s="80">
        <v>0.24395153159025401</v>
      </c>
      <c r="CI75" s="80">
        <v>0.27948058128306702</v>
      </c>
      <c r="CJ75" s="80">
        <v>0.28143751710167503</v>
      </c>
      <c r="CK75" s="80">
        <v>0.172968659663366</v>
      </c>
      <c r="CL75" s="80">
        <v>0.16203167746095301</v>
      </c>
      <c r="CM75" s="80">
        <v>0.30542616285183499</v>
      </c>
      <c r="CN75" s="80">
        <v>0.42263062231865201</v>
      </c>
      <c r="CO75" s="80">
        <v>0.27376947289026299</v>
      </c>
      <c r="CP75" s="80">
        <v>0.30206965958592502</v>
      </c>
      <c r="CQ75" s="80">
        <v>0.24139262860412</v>
      </c>
      <c r="CR75" s="80">
        <v>0.203954457687406</v>
      </c>
      <c r="CS75" s="80">
        <v>0.32146889416953101</v>
      </c>
      <c r="CT75" s="80">
        <v>0.34696381710138902</v>
      </c>
      <c r="CU75" s="80">
        <v>0.454059829059829</v>
      </c>
      <c r="CV75" s="80">
        <v>0.41239316239316298</v>
      </c>
      <c r="CW75" s="80">
        <v>0.44465811965812002</v>
      </c>
      <c r="CX75" s="80">
        <v>0.41935286935286997</v>
      </c>
      <c r="CY75" s="80">
        <v>0.36111111111111099</v>
      </c>
      <c r="CZ75" s="80">
        <v>0.44572649572649597</v>
      </c>
      <c r="DA75" s="80">
        <v>0.29700854700854701</v>
      </c>
      <c r="DB75" s="80">
        <v>0.29487179487179499</v>
      </c>
      <c r="DC75" s="80">
        <v>0.419741560040373</v>
      </c>
      <c r="DD75" s="80">
        <v>0.62822641478578301</v>
      </c>
      <c r="DE75" s="80">
        <v>0.45183289079773598</v>
      </c>
      <c r="DF75" s="80">
        <v>0.50049260860891098</v>
      </c>
      <c r="DG75" s="80">
        <v>0.31402865668225399</v>
      </c>
      <c r="DH75" s="80">
        <v>0.3</v>
      </c>
      <c r="DI75" s="80">
        <v>0.55177465989096197</v>
      </c>
      <c r="DJ75" s="80">
        <v>0.62645668419946998</v>
      </c>
      <c r="DK75" s="80">
        <v>0.38717948717948703</v>
      </c>
      <c r="DL75" s="80">
        <v>0.56923076923076898</v>
      </c>
      <c r="DM75" s="80">
        <v>0.36153846153846197</v>
      </c>
      <c r="DN75" s="80">
        <v>0.43333333333333302</v>
      </c>
      <c r="DO75" s="80">
        <v>0.21025641025641001</v>
      </c>
      <c r="DP75" s="80">
        <v>0.3</v>
      </c>
      <c r="DQ75" s="80">
        <v>0.484615384615385</v>
      </c>
      <c r="DR75" s="80">
        <v>0.6</v>
      </c>
      <c r="DS75" s="80">
        <v>2.3333333333333299</v>
      </c>
      <c r="DT75" s="80">
        <v>2.1090909090909098</v>
      </c>
      <c r="DU75" s="80">
        <v>2.4545454545454501</v>
      </c>
      <c r="DV75" s="80">
        <v>2.8787878787878798</v>
      </c>
      <c r="DW75" s="80">
        <v>2</v>
      </c>
      <c r="DX75" s="80">
        <v>2.4545454545454501</v>
      </c>
      <c r="DY75" s="80">
        <v>1.54838709677419</v>
      </c>
      <c r="DZ75" s="80">
        <v>1.5806451612903201</v>
      </c>
      <c r="EA75" s="80">
        <v>81.757783074760695</v>
      </c>
      <c r="EB75" s="80">
        <v>17.974092640134401</v>
      </c>
      <c r="EC75" s="80">
        <v>4.9780470750494299</v>
      </c>
      <c r="ED75" s="80">
        <v>2.0030389505716601</v>
      </c>
      <c r="EE75" s="80">
        <v>371.982786438826</v>
      </c>
      <c r="EF75" s="80">
        <v>73.252780303342007</v>
      </c>
      <c r="EG75" s="80">
        <v>12.226593969911001</v>
      </c>
      <c r="EH75" s="80">
        <v>3.5524975079022698</v>
      </c>
      <c r="EI75" s="80">
        <v>1.62958028444783</v>
      </c>
      <c r="EJ75" s="80">
        <v>255.715527955113</v>
      </c>
      <c r="EK75" s="80">
        <v>0.219789157066831</v>
      </c>
      <c r="EL75" s="80">
        <v>4.8319689231346601E-2</v>
      </c>
      <c r="EM75" s="80">
        <v>1.3382466222984999E-2</v>
      </c>
      <c r="EN75" s="80">
        <v>5.3847624771773397E-3</v>
      </c>
      <c r="EO75" s="80">
        <v>0.28646199505022002</v>
      </c>
      <c r="EP75" s="80">
        <v>4.7813263698469097E-2</v>
      </c>
      <c r="EQ75" s="80">
        <v>1.3892380866780501E-2</v>
      </c>
      <c r="ER75" s="80">
        <v>6.3726293724872098E-3</v>
      </c>
    </row>
    <row r="76" spans="1:148" ht="28" customHeight="1">
      <c r="B76" s="9">
        <f t="shared" si="6"/>
        <v>75</v>
      </c>
      <c r="C76">
        <v>75</v>
      </c>
      <c r="D76" s="46" t="s">
        <v>512</v>
      </c>
      <c r="E76" s="46">
        <v>601633</v>
      </c>
      <c r="F76" s="48">
        <v>33.714285714285715</v>
      </c>
      <c r="G76" s="9">
        <v>3</v>
      </c>
      <c r="H76" s="4">
        <v>45435</v>
      </c>
      <c r="I76" s="1">
        <v>13</v>
      </c>
      <c r="J76" s="9">
        <v>35.571428571428569</v>
      </c>
      <c r="K76" s="1">
        <v>1</v>
      </c>
      <c r="L76" s="9">
        <v>1</v>
      </c>
      <c r="M76" s="56">
        <v>45422</v>
      </c>
      <c r="N76" s="1">
        <v>1800</v>
      </c>
      <c r="O76" s="48">
        <v>0</v>
      </c>
      <c r="P76" s="17">
        <v>1</v>
      </c>
      <c r="Q76" s="57">
        <v>1</v>
      </c>
      <c r="R76" s="60">
        <v>45432</v>
      </c>
      <c r="S76" s="57">
        <v>2</v>
      </c>
      <c r="T76" s="59">
        <v>0</v>
      </c>
      <c r="U76" s="59">
        <v>5</v>
      </c>
      <c r="V76" s="59">
        <v>5</v>
      </c>
      <c r="W76" s="59">
        <v>1</v>
      </c>
      <c r="X76" s="61">
        <v>4</v>
      </c>
      <c r="Y76" s="59">
        <v>3</v>
      </c>
      <c r="Z76" s="59">
        <v>8</v>
      </c>
      <c r="AA76" s="59"/>
      <c r="AB76" s="59">
        <v>1</v>
      </c>
      <c r="AC76" s="9">
        <v>8</v>
      </c>
      <c r="AD76" s="9">
        <v>10</v>
      </c>
      <c r="AE76" s="9">
        <v>1</v>
      </c>
      <c r="AF76" s="9">
        <v>2</v>
      </c>
      <c r="AG76" s="9">
        <v>1</v>
      </c>
      <c r="AH76" s="9">
        <v>1</v>
      </c>
      <c r="AI76" s="9">
        <v>2</v>
      </c>
      <c r="AJ76" s="9">
        <v>1</v>
      </c>
      <c r="AK76" s="9">
        <v>2</v>
      </c>
      <c r="AL76" s="9">
        <v>30</v>
      </c>
      <c r="AM76" s="9">
        <v>2</v>
      </c>
      <c r="AN76" s="9">
        <v>1</v>
      </c>
      <c r="AO76" s="9" t="s">
        <v>570</v>
      </c>
      <c r="AP76" s="43" t="s">
        <v>571</v>
      </c>
      <c r="AQ76" s="9" t="s">
        <v>552</v>
      </c>
      <c r="AR76" s="9" t="s">
        <v>553</v>
      </c>
      <c r="AS76" s="9">
        <v>1</v>
      </c>
      <c r="AT76" s="9">
        <v>2</v>
      </c>
      <c r="AU76" s="9">
        <v>3</v>
      </c>
      <c r="AV76" s="9">
        <v>37</v>
      </c>
      <c r="AW76" s="9">
        <v>4</v>
      </c>
      <c r="AY76" s="9">
        <v>2045</v>
      </c>
      <c r="AZ76" s="9">
        <v>3</v>
      </c>
      <c r="BA76" s="9">
        <v>3</v>
      </c>
      <c r="BB76" s="9">
        <v>42</v>
      </c>
      <c r="BC76" s="9">
        <v>3</v>
      </c>
      <c r="BD76" s="9">
        <v>29</v>
      </c>
      <c r="BE76" s="9">
        <v>3</v>
      </c>
      <c r="BF76" s="9">
        <v>2175</v>
      </c>
      <c r="BG76" s="9">
        <v>1</v>
      </c>
      <c r="BH76" s="9">
        <v>48</v>
      </c>
      <c r="BI76" s="9">
        <v>3</v>
      </c>
      <c r="BJ76" s="9">
        <v>30</v>
      </c>
      <c r="BK76" s="9">
        <v>3</v>
      </c>
      <c r="BL76" s="9">
        <v>1</v>
      </c>
      <c r="BN76" s="9">
        <v>1</v>
      </c>
      <c r="BP76" s="9">
        <v>1</v>
      </c>
      <c r="BR76" s="9">
        <v>2</v>
      </c>
      <c r="BS76" s="9">
        <v>1</v>
      </c>
      <c r="BT76" s="53">
        <v>45422</v>
      </c>
      <c r="BU76" s="52">
        <v>45436</v>
      </c>
      <c r="BV76" s="51">
        <v>1</v>
      </c>
      <c r="BW76" s="51">
        <v>1</v>
      </c>
      <c r="BX76" s="51">
        <v>0</v>
      </c>
      <c r="BY76" s="51">
        <v>1</v>
      </c>
      <c r="BZ76" s="51">
        <v>0</v>
      </c>
      <c r="CA76" s="9">
        <v>1</v>
      </c>
      <c r="CB76" s="52">
        <v>45423</v>
      </c>
      <c r="CC76" s="52">
        <v>45425</v>
      </c>
      <c r="CD76" s="9">
        <v>2</v>
      </c>
      <c r="CE76" s="80">
        <v>0.30926594721886402</v>
      </c>
      <c r="CF76" s="80">
        <v>0.28714646105401198</v>
      </c>
      <c r="CG76" s="80">
        <v>0.19741638573451301</v>
      </c>
      <c r="CH76" s="80">
        <v>0.19549230959689901</v>
      </c>
      <c r="CI76" s="80">
        <v>0.26010600505370102</v>
      </c>
      <c r="CJ76" s="80">
        <v>0.31436967985513797</v>
      </c>
      <c r="CK76" s="80">
        <v>0.199291434083779</v>
      </c>
      <c r="CL76" s="80">
        <v>0.19725764358561201</v>
      </c>
      <c r="CM76" s="80">
        <v>0.30053431212521198</v>
      </c>
      <c r="CN76" s="80">
        <v>0.271834783568625</v>
      </c>
      <c r="CO76" s="80">
        <v>0.39874875788566999</v>
      </c>
      <c r="CP76" s="80">
        <v>0.39675430799446498</v>
      </c>
      <c r="CQ76" s="80">
        <v>0.29237057880353001</v>
      </c>
      <c r="CR76" s="80">
        <v>0.25701375876336702</v>
      </c>
      <c r="CS76" s="80">
        <v>0.43132177708570901</v>
      </c>
      <c r="CT76" s="80">
        <v>0.33930554546063701</v>
      </c>
      <c r="CU76" s="80">
        <v>0.391666666666667</v>
      </c>
      <c r="CV76" s="80">
        <v>0.391666666666667</v>
      </c>
      <c r="CW76" s="80">
        <v>0.28525641025641002</v>
      </c>
      <c r="CX76" s="80">
        <v>0.28525641025641002</v>
      </c>
      <c r="CY76" s="80">
        <v>0.335470085470085</v>
      </c>
      <c r="CZ76" s="80">
        <v>0.42179487179487202</v>
      </c>
      <c r="DA76" s="80">
        <v>0.29059829059829101</v>
      </c>
      <c r="DB76" s="80">
        <v>0.28525641025641002</v>
      </c>
      <c r="DC76" s="80">
        <v>0.35857054653744203</v>
      </c>
      <c r="DD76" s="80">
        <v>0.35857054653744203</v>
      </c>
      <c r="DE76" s="80">
        <v>0.56968585358882695</v>
      </c>
      <c r="DF76" s="80">
        <v>0.56968585358882695</v>
      </c>
      <c r="DG76" s="80">
        <v>0.35857054653744203</v>
      </c>
      <c r="DH76" s="80">
        <v>0.33211386233797202</v>
      </c>
      <c r="DI76" s="80">
        <v>0.62743386773268095</v>
      </c>
      <c r="DJ76" s="80">
        <v>0.47517463291741902</v>
      </c>
      <c r="DK76" s="80">
        <v>0.30769230769230799</v>
      </c>
      <c r="DL76" s="80">
        <v>0.30769230769230799</v>
      </c>
      <c r="DM76" s="80">
        <v>0.5</v>
      </c>
      <c r="DN76" s="80">
        <v>0.5</v>
      </c>
      <c r="DO76" s="80">
        <v>0.30769230769230799</v>
      </c>
      <c r="DP76" s="80">
        <v>0.30769230769230799</v>
      </c>
      <c r="DQ76" s="80">
        <v>0.59487179487179498</v>
      </c>
      <c r="DR76" s="80">
        <v>0.44871794871794901</v>
      </c>
      <c r="DS76" s="80">
        <v>2.4</v>
      </c>
      <c r="DT76" s="80">
        <v>2.4</v>
      </c>
      <c r="DU76" s="80">
        <v>1.63333333333333</v>
      </c>
      <c r="DV76" s="80">
        <v>1.63333333333333</v>
      </c>
      <c r="DW76" s="80">
        <v>1.7948717948718</v>
      </c>
      <c r="DX76" s="80">
        <v>2.8333333333333299</v>
      </c>
      <c r="DY76" s="80">
        <v>1.5333333333333301</v>
      </c>
      <c r="DZ76" s="80">
        <v>1.63333333333333</v>
      </c>
      <c r="EA76" s="80">
        <v>74.763506353239194</v>
      </c>
      <c r="EB76" s="80">
        <v>14.2931339709819</v>
      </c>
      <c r="EC76" s="80">
        <v>5.0470922092565003</v>
      </c>
      <c r="ED76" s="80">
        <v>3.2660414797739099</v>
      </c>
      <c r="EE76" s="80">
        <v>290.80047525261602</v>
      </c>
      <c r="EF76" s="80">
        <v>72.034546633367199</v>
      </c>
      <c r="EG76" s="80">
        <v>10.824324998399099</v>
      </c>
      <c r="EH76" s="80">
        <v>4.7985595651477597</v>
      </c>
      <c r="EI76" s="80">
        <v>3.7690759283407198</v>
      </c>
      <c r="EJ76" s="80">
        <v>296.71973364527503</v>
      </c>
      <c r="EK76" s="80">
        <v>0.25709554390615402</v>
      </c>
      <c r="EL76" s="80">
        <v>4.9150999352960301E-2</v>
      </c>
      <c r="EM76" s="80">
        <v>1.7355859562719601E-2</v>
      </c>
      <c r="EN76" s="80">
        <v>1.12312109426119E-2</v>
      </c>
      <c r="EO76" s="80">
        <v>0.24276965252160701</v>
      </c>
      <c r="EP76" s="80">
        <v>3.6479963315616502E-2</v>
      </c>
      <c r="EQ76" s="80">
        <v>1.6172027071459899E-2</v>
      </c>
      <c r="ER76" s="80">
        <v>1.27024781332764E-2</v>
      </c>
    </row>
    <row r="77" spans="1:148" ht="28" customHeight="1">
      <c r="B77" s="9">
        <f t="shared" si="6"/>
        <v>76</v>
      </c>
      <c r="C77">
        <v>77</v>
      </c>
      <c r="D77" s="46" t="s">
        <v>517</v>
      </c>
      <c r="E77" s="49">
        <v>67262020</v>
      </c>
      <c r="F77" s="48">
        <v>30.428571428571427</v>
      </c>
      <c r="G77" s="9">
        <v>2</v>
      </c>
      <c r="H77" s="56">
        <v>45640</v>
      </c>
      <c r="I77" s="1">
        <v>59</v>
      </c>
      <c r="J77" s="9">
        <v>38.857142857142861</v>
      </c>
      <c r="K77" s="49">
        <v>3</v>
      </c>
      <c r="L77" s="9">
        <v>1</v>
      </c>
      <c r="M77" s="70">
        <v>45581</v>
      </c>
      <c r="N77" s="49">
        <v>6656</v>
      </c>
      <c r="O77" s="62">
        <v>100</v>
      </c>
      <c r="P77" s="17">
        <v>5</v>
      </c>
      <c r="Q77" s="57">
        <v>1</v>
      </c>
      <c r="R77" s="63"/>
      <c r="S77" s="63">
        <v>1</v>
      </c>
      <c r="T77" s="59"/>
      <c r="U77" s="59"/>
      <c r="V77" s="59"/>
      <c r="W77" s="59"/>
      <c r="X77" s="61"/>
      <c r="Y77" s="59"/>
      <c r="Z77" s="59"/>
      <c r="AA77" s="61">
        <v>1</v>
      </c>
      <c r="AB77" s="59">
        <v>2</v>
      </c>
      <c r="AC77" s="9">
        <v>8</v>
      </c>
      <c r="AD77" s="9">
        <v>9</v>
      </c>
      <c r="AE77" s="9">
        <v>2</v>
      </c>
      <c r="AF77" s="9">
        <v>2</v>
      </c>
      <c r="AG77" s="9">
        <v>1</v>
      </c>
      <c r="AH77" s="9">
        <v>2</v>
      </c>
      <c r="AI77" s="9">
        <v>2</v>
      </c>
      <c r="AJ77" s="9">
        <v>1</v>
      </c>
      <c r="AK77" s="9">
        <v>1</v>
      </c>
      <c r="AL77" s="9">
        <v>31</v>
      </c>
      <c r="AM77" s="9">
        <v>2</v>
      </c>
      <c r="AN77" s="9">
        <v>1</v>
      </c>
      <c r="AO77" s="9" t="s">
        <v>583</v>
      </c>
      <c r="AP77" s="43" t="s">
        <v>584</v>
      </c>
      <c r="AQ77" s="67" t="s">
        <v>585</v>
      </c>
      <c r="AR77" s="9" t="s">
        <v>559</v>
      </c>
      <c r="AS77" s="9">
        <v>1</v>
      </c>
      <c r="AT77" s="9">
        <v>2</v>
      </c>
      <c r="AU77" s="9">
        <v>1</v>
      </c>
      <c r="AV77" s="9">
        <v>39</v>
      </c>
      <c r="AW77" s="9">
        <v>1</v>
      </c>
      <c r="AY77" s="9">
        <v>1190</v>
      </c>
      <c r="AZ77" s="9">
        <v>2</v>
      </c>
      <c r="BA77" s="9">
        <v>2</v>
      </c>
      <c r="BB77" s="9">
        <v>42</v>
      </c>
      <c r="BC77" s="9">
        <v>1</v>
      </c>
      <c r="BD77" s="9">
        <v>27</v>
      </c>
      <c r="BE77" s="9">
        <v>1</v>
      </c>
      <c r="BF77" s="9">
        <v>2040</v>
      </c>
      <c r="BG77" s="9">
        <v>1</v>
      </c>
      <c r="BL77" s="9">
        <v>1</v>
      </c>
      <c r="BN77" s="9">
        <v>1</v>
      </c>
      <c r="BP77" s="9">
        <v>1</v>
      </c>
      <c r="BR77" s="9">
        <v>1</v>
      </c>
      <c r="BS77" s="9">
        <v>2</v>
      </c>
      <c r="BT77" s="53">
        <v>45616</v>
      </c>
      <c r="BU77" s="53">
        <v>45643</v>
      </c>
      <c r="BV77" s="51">
        <v>1</v>
      </c>
      <c r="BW77" s="51">
        <v>1</v>
      </c>
      <c r="BX77" s="50"/>
      <c r="BY77" s="51">
        <v>1</v>
      </c>
      <c r="BZ77" s="50">
        <v>0</v>
      </c>
      <c r="CA77" s="9">
        <v>1</v>
      </c>
      <c r="CB77" s="50"/>
      <c r="CC77" s="50"/>
      <c r="CD77" s="9">
        <v>0</v>
      </c>
      <c r="CE77" s="80">
        <v>0.26390462177317398</v>
      </c>
      <c r="CF77" s="80">
        <v>0.21123661205758201</v>
      </c>
      <c r="CG77" s="80">
        <v>0.19289234698951699</v>
      </c>
      <c r="CH77" s="80">
        <v>0.17858992795737599</v>
      </c>
      <c r="CI77" s="80">
        <v>0.26945264871593999</v>
      </c>
      <c r="CJ77" s="80">
        <v>0.23701025931949399</v>
      </c>
      <c r="CK77" s="80">
        <v>0.245410499858806</v>
      </c>
      <c r="CL77" s="80">
        <v>0.24802490528005799</v>
      </c>
      <c r="CM77" s="80">
        <v>0.269741710640785</v>
      </c>
      <c r="CN77" s="80">
        <v>0.345672586053208</v>
      </c>
      <c r="CO77" s="80">
        <v>0.33581447481717802</v>
      </c>
      <c r="CP77" s="80">
        <v>0.348322787836359</v>
      </c>
      <c r="CQ77" s="80">
        <v>0.239286272973042</v>
      </c>
      <c r="CR77" s="80">
        <v>0.26567334014480898</v>
      </c>
      <c r="CS77" s="80">
        <v>0.27415579435468201</v>
      </c>
      <c r="CT77" s="80">
        <v>0.30929010817117603</v>
      </c>
      <c r="CU77" s="80">
        <v>0.389102564102564</v>
      </c>
      <c r="CV77" s="80">
        <v>0.344444444444445</v>
      </c>
      <c r="CW77" s="80">
        <v>0.31303418803418798</v>
      </c>
      <c r="CX77" s="80">
        <v>0.316239316239316</v>
      </c>
      <c r="CY77" s="80">
        <v>0.38760683760683801</v>
      </c>
      <c r="CZ77" s="80">
        <v>0.36111111111111099</v>
      </c>
      <c r="DA77" s="80">
        <v>0.39465811965811998</v>
      </c>
      <c r="DB77" s="80">
        <v>0.39123931623931602</v>
      </c>
      <c r="DC77" s="80">
        <v>0.39243972671621702</v>
      </c>
      <c r="DD77" s="80">
        <v>0.55433876245506497</v>
      </c>
      <c r="DE77" s="80">
        <v>0.52816543670509897</v>
      </c>
      <c r="DF77" s="80">
        <v>0.61430950944460105</v>
      </c>
      <c r="DG77" s="80">
        <v>0.32307692307692298</v>
      </c>
      <c r="DH77" s="80">
        <v>0.38861175507075602</v>
      </c>
      <c r="DI77" s="80">
        <v>0.414128200063135</v>
      </c>
      <c r="DJ77" s="80">
        <v>0.48172823210174898</v>
      </c>
      <c r="DK77" s="80">
        <v>0.28205128205128199</v>
      </c>
      <c r="DL77" s="80">
        <v>0.487179487179487</v>
      </c>
      <c r="DM77" s="80">
        <v>0.40769230769230802</v>
      </c>
      <c r="DN77" s="80">
        <v>0.52307692307692299</v>
      </c>
      <c r="DO77" s="80">
        <v>0.32307692307692298</v>
      </c>
      <c r="DP77" s="80">
        <v>0.31282051282051299</v>
      </c>
      <c r="DQ77" s="80">
        <v>0.35384615384615398</v>
      </c>
      <c r="DR77" s="80">
        <v>0.44102564102564101</v>
      </c>
      <c r="DS77" s="80">
        <v>2.4363636363636401</v>
      </c>
      <c r="DT77" s="80">
        <v>2.2222222222222201</v>
      </c>
      <c r="DU77" s="80">
        <v>1.8611111111111101</v>
      </c>
      <c r="DV77" s="80">
        <v>1.7777777777777799</v>
      </c>
      <c r="DW77" s="80">
        <v>2.4181818181818202</v>
      </c>
      <c r="DX77" s="80">
        <v>1.9777777777777801</v>
      </c>
      <c r="DY77" s="80">
        <v>2.30909090909091</v>
      </c>
      <c r="DZ77" s="80">
        <v>2.4181818181818202</v>
      </c>
      <c r="EA77" s="80">
        <v>40.693549638006203</v>
      </c>
      <c r="EB77" s="80">
        <v>9.6753124789636207</v>
      </c>
      <c r="EC77" s="80">
        <v>3.1860396713746302</v>
      </c>
      <c r="ED77" s="80">
        <v>1.04284593944005</v>
      </c>
      <c r="EE77" s="80">
        <v>178.61897161709501</v>
      </c>
      <c r="EF77" s="80">
        <v>76.269103325712393</v>
      </c>
      <c r="EG77" s="80">
        <v>14.6473816858184</v>
      </c>
      <c r="EH77" s="80">
        <v>5.1377930898260296</v>
      </c>
      <c r="EI77" s="80">
        <v>2.9984791926709198</v>
      </c>
      <c r="EJ77" s="80">
        <v>316.21637269487502</v>
      </c>
      <c r="EK77" s="80">
        <v>0.227823222077668</v>
      </c>
      <c r="EL77" s="80">
        <v>5.4167328315519403E-2</v>
      </c>
      <c r="EM77" s="80">
        <v>1.78370731984984E-2</v>
      </c>
      <c r="EN77" s="80">
        <v>5.8383828436521998E-3</v>
      </c>
      <c r="EO77" s="80">
        <v>0.24119277150556101</v>
      </c>
      <c r="EP77" s="80">
        <v>4.6320756768505597E-2</v>
      </c>
      <c r="EQ77" s="80">
        <v>1.6247713696923599E-2</v>
      </c>
      <c r="ER77" s="80">
        <v>9.4823654041602291E-3</v>
      </c>
    </row>
    <row r="78" spans="1:148" ht="28" customHeight="1">
      <c r="B78" s="9">
        <f t="shared" si="6"/>
        <v>77</v>
      </c>
      <c r="C78">
        <v>78</v>
      </c>
      <c r="D78" s="46" t="s">
        <v>518</v>
      </c>
      <c r="E78" s="49">
        <v>67254843</v>
      </c>
      <c r="F78" s="48">
        <v>30.142857142857142</v>
      </c>
      <c r="G78" s="9">
        <v>2</v>
      </c>
      <c r="H78" s="56">
        <v>45654</v>
      </c>
      <c r="I78" s="1">
        <v>41</v>
      </c>
      <c r="J78" s="9">
        <v>36</v>
      </c>
      <c r="K78" s="49">
        <v>3</v>
      </c>
      <c r="L78" s="9">
        <v>2</v>
      </c>
      <c r="M78" s="56">
        <v>45613</v>
      </c>
      <c r="N78" s="49">
        <v>10488</v>
      </c>
      <c r="O78" s="62">
        <v>93.668954996186102</v>
      </c>
      <c r="P78" s="17">
        <v>5</v>
      </c>
      <c r="Q78" s="57">
        <v>2</v>
      </c>
      <c r="R78" s="58">
        <v>45652</v>
      </c>
      <c r="S78" s="57">
        <v>2</v>
      </c>
      <c r="T78" s="59">
        <v>0</v>
      </c>
      <c r="U78" s="59">
        <v>34</v>
      </c>
      <c r="V78" s="59">
        <v>34</v>
      </c>
      <c r="W78" s="59">
        <v>2</v>
      </c>
      <c r="X78" s="61">
        <v>0</v>
      </c>
      <c r="Y78" s="59">
        <v>3</v>
      </c>
      <c r="Z78" s="59">
        <v>6</v>
      </c>
      <c r="AA78" s="61">
        <v>2</v>
      </c>
      <c r="AB78" s="59">
        <v>2</v>
      </c>
      <c r="AC78" s="9">
        <v>9</v>
      </c>
      <c r="AD78" s="9">
        <v>10</v>
      </c>
      <c r="AE78" s="9">
        <v>4</v>
      </c>
      <c r="AF78" s="9">
        <v>2</v>
      </c>
      <c r="AG78" s="9">
        <v>1</v>
      </c>
      <c r="AH78" s="9">
        <v>2</v>
      </c>
      <c r="AI78" s="9">
        <v>1</v>
      </c>
      <c r="AJ78" s="9">
        <v>1</v>
      </c>
      <c r="AK78" s="9">
        <v>2</v>
      </c>
      <c r="AL78" s="9">
        <v>31</v>
      </c>
      <c r="AM78" s="9">
        <v>2</v>
      </c>
      <c r="AN78" s="9">
        <v>1</v>
      </c>
      <c r="AO78" s="9" t="s">
        <v>588</v>
      </c>
      <c r="AP78" s="9" t="s">
        <v>589</v>
      </c>
      <c r="AQ78" s="9" t="s">
        <v>590</v>
      </c>
      <c r="AR78" s="9" t="s">
        <v>560</v>
      </c>
      <c r="AS78" s="9">
        <v>1</v>
      </c>
      <c r="AT78" s="9">
        <v>2</v>
      </c>
      <c r="AU78" s="9">
        <v>1</v>
      </c>
      <c r="AV78" s="9">
        <v>37</v>
      </c>
      <c r="AW78" s="9">
        <v>1</v>
      </c>
      <c r="AY78" s="9">
        <v>1400</v>
      </c>
      <c r="AZ78" s="9">
        <v>2</v>
      </c>
      <c r="BA78" s="9">
        <v>4</v>
      </c>
      <c r="BB78" s="9">
        <v>41</v>
      </c>
      <c r="BC78" s="9">
        <v>4</v>
      </c>
      <c r="BD78" s="9">
        <v>27</v>
      </c>
      <c r="BE78" s="9">
        <v>4</v>
      </c>
      <c r="BF78" s="9">
        <v>2250</v>
      </c>
      <c r="BG78" s="9">
        <v>2</v>
      </c>
      <c r="BH78" s="9">
        <v>45</v>
      </c>
      <c r="BI78" s="9">
        <v>3</v>
      </c>
      <c r="BJ78" s="9">
        <v>32</v>
      </c>
      <c r="BK78" s="9">
        <v>3</v>
      </c>
      <c r="BL78" s="9">
        <v>1</v>
      </c>
      <c r="BN78" s="9">
        <v>1</v>
      </c>
      <c r="BP78" s="9">
        <v>1</v>
      </c>
      <c r="BR78" s="9">
        <v>1</v>
      </c>
      <c r="BS78" s="9">
        <v>1</v>
      </c>
      <c r="BT78" s="55">
        <v>45613</v>
      </c>
      <c r="BU78" s="55">
        <v>45664</v>
      </c>
      <c r="BV78" s="51">
        <v>1</v>
      </c>
      <c r="BW78" s="51">
        <v>1</v>
      </c>
      <c r="BX78" s="50"/>
      <c r="BY78" s="51">
        <v>2</v>
      </c>
      <c r="BZ78" s="50">
        <v>30</v>
      </c>
      <c r="CA78" s="9">
        <v>1</v>
      </c>
      <c r="CB78" s="53">
        <v>45614</v>
      </c>
      <c r="CC78" s="53">
        <v>45624</v>
      </c>
      <c r="CD78" s="9">
        <v>10</v>
      </c>
      <c r="CE78" s="80">
        <v>0.294279553233664</v>
      </c>
      <c r="CF78" s="80">
        <v>0.28438071476092802</v>
      </c>
      <c r="CG78" s="80">
        <v>0.251042489435506</v>
      </c>
      <c r="CH78" s="80">
        <v>0.21368813192670699</v>
      </c>
      <c r="CI78" s="80">
        <v>0.30150360047798003</v>
      </c>
      <c r="CJ78" s="80">
        <v>0.26023837861195598</v>
      </c>
      <c r="CK78" s="80">
        <v>0.25343683530754302</v>
      </c>
      <c r="CL78" s="80">
        <v>0.24356034030308499</v>
      </c>
      <c r="CM78" s="80">
        <v>0.195581539911867</v>
      </c>
      <c r="CN78" s="80">
        <v>0.139722087355233</v>
      </c>
      <c r="CO78" s="80">
        <v>0.19484848764427001</v>
      </c>
      <c r="CP78" s="80">
        <v>0.19741118901292801</v>
      </c>
      <c r="CQ78" s="80">
        <v>0.18296367547773901</v>
      </c>
      <c r="CR78" s="80">
        <v>0.23649742132958701</v>
      </c>
      <c r="CS78" s="80">
        <v>0.21570490911798301</v>
      </c>
      <c r="CT78" s="80">
        <v>0.209215604976037</v>
      </c>
      <c r="CU78" s="80">
        <v>0.44188034188034198</v>
      </c>
      <c r="CV78" s="80">
        <v>0.486233211233211</v>
      </c>
      <c r="CW78" s="80">
        <v>0.45213675213675197</v>
      </c>
      <c r="CX78" s="80">
        <v>0.40149572649572701</v>
      </c>
      <c r="CY78" s="80">
        <v>0.40961538461538499</v>
      </c>
      <c r="CZ78" s="80">
        <v>0.400427350427351</v>
      </c>
      <c r="DA78" s="80">
        <v>0.39978632478632498</v>
      </c>
      <c r="DB78" s="80">
        <v>0.39978632478632498</v>
      </c>
      <c r="DC78" s="80">
        <v>0.29153643183524502</v>
      </c>
      <c r="DD78" s="80">
        <v>0.23565514843528601</v>
      </c>
      <c r="DE78" s="80">
        <v>0.34310516866544399</v>
      </c>
      <c r="DF78" s="80">
        <v>0.36898848176861898</v>
      </c>
      <c r="DG78" s="80">
        <v>0.246153846153846</v>
      </c>
      <c r="DH78" s="80">
        <v>0.36924451690105797</v>
      </c>
      <c r="DI78" s="80">
        <v>0.34839489876841501</v>
      </c>
      <c r="DJ78" s="80">
        <v>0.34839489876841501</v>
      </c>
      <c r="DK78" s="80">
        <v>0.258974358974359</v>
      </c>
      <c r="DL78" s="80">
        <v>0.20512820512820501</v>
      </c>
      <c r="DM78" s="80">
        <v>0.28205128205128199</v>
      </c>
      <c r="DN78" s="80">
        <v>0.33846153846153898</v>
      </c>
      <c r="DO78" s="80">
        <v>0.246153846153846</v>
      </c>
      <c r="DP78" s="80">
        <v>0.246153846153846</v>
      </c>
      <c r="DQ78" s="80">
        <v>0.30769230769230799</v>
      </c>
      <c r="DR78" s="80">
        <v>0.30769230769230799</v>
      </c>
      <c r="DS78" s="80">
        <v>2.5454545454545499</v>
      </c>
      <c r="DT78" s="80">
        <v>2.7435897435897401</v>
      </c>
      <c r="DU78" s="80">
        <v>2.3787878787878798</v>
      </c>
      <c r="DV78" s="80">
        <v>2.25454545454545</v>
      </c>
      <c r="DW78" s="80">
        <v>2.16363636363636</v>
      </c>
      <c r="DX78" s="80">
        <v>2.2727272727272698</v>
      </c>
      <c r="DY78" s="80">
        <v>2.2909090909090901</v>
      </c>
      <c r="DZ78" s="80">
        <v>2.2909090909090901</v>
      </c>
      <c r="EA78" s="80">
        <v>22.9716323082116</v>
      </c>
      <c r="EB78" s="80">
        <v>7.0485987884853598</v>
      </c>
      <c r="EC78" s="80">
        <v>3.2863266653471599</v>
      </c>
      <c r="ED78" s="80">
        <v>2.20360002583126</v>
      </c>
      <c r="EE78" s="80">
        <v>133.10065180602601</v>
      </c>
      <c r="EF78" s="80">
        <v>40.211599764219201</v>
      </c>
      <c r="EG78" s="80">
        <v>7.7663205647550502</v>
      </c>
      <c r="EH78" s="80">
        <v>3.57343845731745</v>
      </c>
      <c r="EI78" s="80">
        <v>2.55721161420959</v>
      </c>
      <c r="EJ78" s="80">
        <v>180.02532922857799</v>
      </c>
      <c r="EK78" s="80">
        <v>0.17258842835487501</v>
      </c>
      <c r="EL78" s="80">
        <v>5.2956906617990199E-2</v>
      </c>
      <c r="EM78" s="80">
        <v>2.46905377303221E-2</v>
      </c>
      <c r="EN78" s="80">
        <v>1.6555892070631399E-2</v>
      </c>
      <c r="EO78" s="80">
        <v>0.223366344816748</v>
      </c>
      <c r="EP78" s="80">
        <v>4.31401547661893E-2</v>
      </c>
      <c r="EQ78" s="80">
        <v>1.98496426732277E-2</v>
      </c>
      <c r="ER78" s="80">
        <v>1.4204732329430699E-2</v>
      </c>
    </row>
    <row r="79" spans="1:148" ht="28" customHeight="1">
      <c r="B79" s="9">
        <f t="shared" si="6"/>
        <v>78</v>
      </c>
      <c r="C79">
        <v>79</v>
      </c>
      <c r="D79" s="46" t="s">
        <v>519</v>
      </c>
      <c r="E79" s="49">
        <v>67230268</v>
      </c>
      <c r="F79" s="48">
        <v>28.285714285714285</v>
      </c>
      <c r="G79" s="9">
        <v>2</v>
      </c>
      <c r="H79" s="56">
        <v>45640</v>
      </c>
      <c r="I79" s="1">
        <v>58</v>
      </c>
      <c r="J79" s="9">
        <v>36.571428571428569</v>
      </c>
      <c r="K79" s="49">
        <v>3</v>
      </c>
      <c r="L79" s="9">
        <v>2</v>
      </c>
      <c r="M79" s="56">
        <v>45582</v>
      </c>
      <c r="N79" s="49">
        <v>11296</v>
      </c>
      <c r="O79" s="62">
        <v>100</v>
      </c>
      <c r="P79" s="17">
        <v>5</v>
      </c>
      <c r="Q79" s="57">
        <v>2</v>
      </c>
      <c r="R79" s="58">
        <v>45648</v>
      </c>
      <c r="S79" s="57">
        <v>2</v>
      </c>
      <c r="T79" s="59">
        <v>16</v>
      </c>
      <c r="U79" s="59">
        <v>47</v>
      </c>
      <c r="V79" s="59">
        <v>63</v>
      </c>
      <c r="W79" s="59">
        <v>7</v>
      </c>
      <c r="X79" s="61">
        <v>32</v>
      </c>
      <c r="Y79" s="59">
        <v>8</v>
      </c>
      <c r="Z79" s="59">
        <v>26</v>
      </c>
      <c r="AA79" s="61">
        <v>2</v>
      </c>
      <c r="AB79" s="59">
        <v>2</v>
      </c>
      <c r="AC79" s="9">
        <v>5</v>
      </c>
      <c r="AD79" s="9">
        <v>8</v>
      </c>
      <c r="AE79" s="9">
        <v>2</v>
      </c>
      <c r="AF79" s="9">
        <v>2</v>
      </c>
      <c r="AG79" s="9">
        <v>2</v>
      </c>
      <c r="AH79" s="9">
        <v>2</v>
      </c>
      <c r="AI79" s="9">
        <v>2</v>
      </c>
      <c r="AJ79" s="9">
        <v>1</v>
      </c>
      <c r="AK79" s="9">
        <v>1</v>
      </c>
      <c r="AL79" s="9">
        <v>32</v>
      </c>
      <c r="AM79" s="9">
        <v>2</v>
      </c>
      <c r="AN79" s="9">
        <v>1</v>
      </c>
      <c r="AO79" s="68" t="s">
        <v>586</v>
      </c>
      <c r="AP79" s="43" t="s">
        <v>587</v>
      </c>
      <c r="AQ79" s="9" t="s">
        <v>561</v>
      </c>
      <c r="AR79" s="9" t="s">
        <v>562</v>
      </c>
      <c r="AS79" s="9">
        <v>1</v>
      </c>
      <c r="AT79" s="9">
        <v>2</v>
      </c>
      <c r="AU79" s="9">
        <v>1</v>
      </c>
      <c r="AV79" s="9">
        <v>39</v>
      </c>
      <c r="AW79" s="9">
        <v>6</v>
      </c>
      <c r="AY79" s="9">
        <v>765</v>
      </c>
      <c r="AZ79" s="9">
        <v>1</v>
      </c>
      <c r="BA79" s="9">
        <v>3</v>
      </c>
      <c r="BB79" s="9">
        <v>32</v>
      </c>
      <c r="BC79" s="9">
        <v>2</v>
      </c>
      <c r="BD79" s="9">
        <v>24</v>
      </c>
      <c r="BE79" s="9">
        <v>2</v>
      </c>
      <c r="BF79" s="9">
        <v>2030</v>
      </c>
      <c r="BG79" s="9">
        <v>1</v>
      </c>
      <c r="BH79" s="9">
        <v>44</v>
      </c>
      <c r="BI79" s="9">
        <v>1</v>
      </c>
      <c r="BJ79" s="9">
        <v>31</v>
      </c>
      <c r="BK79" s="9">
        <v>1</v>
      </c>
      <c r="BL79" s="9">
        <v>1</v>
      </c>
      <c r="BN79" s="9">
        <v>2</v>
      </c>
      <c r="BO79" s="9">
        <v>3</v>
      </c>
      <c r="BP79" s="9">
        <v>1</v>
      </c>
      <c r="BR79" s="9">
        <v>2</v>
      </c>
      <c r="BS79" s="9">
        <v>1</v>
      </c>
      <c r="BT79" s="55">
        <v>45582</v>
      </c>
      <c r="BU79" s="55">
        <v>45664</v>
      </c>
      <c r="BV79" s="51">
        <v>1</v>
      </c>
      <c r="BW79" s="51">
        <v>1</v>
      </c>
      <c r="BX79" s="50"/>
      <c r="BY79" s="51">
        <v>2</v>
      </c>
      <c r="BZ79" s="50">
        <v>80</v>
      </c>
      <c r="CA79" s="9">
        <v>1</v>
      </c>
      <c r="CB79" s="54">
        <v>45583</v>
      </c>
      <c r="CC79" s="53">
        <v>45623</v>
      </c>
      <c r="CD79" s="9">
        <v>40</v>
      </c>
      <c r="CE79" s="80">
        <v>0.201030912654759</v>
      </c>
      <c r="CF79" s="80">
        <v>0.209990967276109</v>
      </c>
      <c r="CG79" s="80">
        <v>0.177381481021684</v>
      </c>
      <c r="CH79" s="80">
        <v>0.17186385545475699</v>
      </c>
      <c r="CI79" s="80">
        <v>0.21247503013573399</v>
      </c>
      <c r="CJ79" s="80">
        <v>0.26029413812958502</v>
      </c>
      <c r="CK79" s="80">
        <v>0.17173608888918601</v>
      </c>
      <c r="CL79" s="80">
        <v>0.19310849127935101</v>
      </c>
      <c r="CM79" s="80">
        <v>0.320565975182382</v>
      </c>
      <c r="CN79" s="80">
        <v>0.26323696196618201</v>
      </c>
      <c r="CO79" s="80">
        <v>0.27888605231703401</v>
      </c>
      <c r="CP79" s="80">
        <v>0.32782948641556298</v>
      </c>
      <c r="CQ79" s="80">
        <v>0.32748666302309998</v>
      </c>
      <c r="CR79" s="80">
        <v>0.15015617440610701</v>
      </c>
      <c r="CS79" s="80">
        <v>0.34497876530049998</v>
      </c>
      <c r="CT79" s="80">
        <v>0.31456217726110303</v>
      </c>
      <c r="CU79" s="80">
        <v>0.29700854700854701</v>
      </c>
      <c r="CV79" s="80">
        <v>0.30982905982906001</v>
      </c>
      <c r="CW79" s="80">
        <v>0.27136752136752101</v>
      </c>
      <c r="CX79" s="80">
        <v>0.27350427350427398</v>
      </c>
      <c r="CY79" s="80">
        <v>0.32286324786324799</v>
      </c>
      <c r="CZ79" s="80">
        <v>0.41175213675213701</v>
      </c>
      <c r="DA79" s="80">
        <v>0.256410256410256</v>
      </c>
      <c r="DB79" s="80">
        <v>0.29487179487179499</v>
      </c>
      <c r="DC79" s="80">
        <v>0.47438142078909601</v>
      </c>
      <c r="DD79" s="80">
        <v>0.37566666160159601</v>
      </c>
      <c r="DE79" s="80">
        <v>0.42124771658388199</v>
      </c>
      <c r="DF79" s="80">
        <v>0.51287120481692094</v>
      </c>
      <c r="DG79" s="80">
        <v>0.50224105261456897</v>
      </c>
      <c r="DH79" s="80">
        <v>0.22564102564102601</v>
      </c>
      <c r="DI79" s="80">
        <v>0.51946174832737102</v>
      </c>
      <c r="DJ79" s="80">
        <v>0.48157300103739298</v>
      </c>
      <c r="DK79" s="80">
        <v>0.34871794871794898</v>
      </c>
      <c r="DL79" s="80">
        <v>0.31538461538461499</v>
      </c>
      <c r="DM79" s="80">
        <v>0.38461538461538503</v>
      </c>
      <c r="DN79" s="80">
        <v>0.42564102564102602</v>
      </c>
      <c r="DO79" s="80">
        <v>0.46153846153846201</v>
      </c>
      <c r="DP79" s="80">
        <v>0.22564102564102601</v>
      </c>
      <c r="DQ79" s="80">
        <v>0.45384615384615401</v>
      </c>
      <c r="DR79" s="80">
        <v>0.39230769230769202</v>
      </c>
      <c r="DS79" s="80">
        <v>1.54838709677419</v>
      </c>
      <c r="DT79" s="80">
        <v>1.6764705882352899</v>
      </c>
      <c r="DU79" s="80">
        <v>1.4814814814814801</v>
      </c>
      <c r="DV79" s="80">
        <v>1.44444444444444</v>
      </c>
      <c r="DW79" s="80">
        <v>2.3571428571428599</v>
      </c>
      <c r="DX79" s="80">
        <v>2.1454545454545499</v>
      </c>
      <c r="DY79" s="80">
        <v>1.3333333333333299</v>
      </c>
      <c r="DZ79" s="80">
        <v>1.5806451612903201</v>
      </c>
      <c r="EA79" s="80">
        <v>32.377721746700701</v>
      </c>
      <c r="EB79" s="80">
        <v>9.9083878799512899</v>
      </c>
      <c r="EC79" s="80">
        <v>2.9997214730717898</v>
      </c>
      <c r="ED79" s="80">
        <v>1.4350222027936399</v>
      </c>
      <c r="EE79" s="80">
        <v>121.675440279119</v>
      </c>
      <c r="EF79" s="80">
        <v>47.756052065696103</v>
      </c>
      <c r="EG79" s="80">
        <v>11.767742037608899</v>
      </c>
      <c r="EH79" s="80">
        <v>4.4357629310454998</v>
      </c>
      <c r="EI79" s="80">
        <v>2.8807312820479201</v>
      </c>
      <c r="EJ79" s="80">
        <v>212.14427497408701</v>
      </c>
      <c r="EK79" s="80">
        <v>0.266099072026592</v>
      </c>
      <c r="EL79" s="80">
        <v>8.1432932210656298E-2</v>
      </c>
      <c r="EM79" s="80">
        <v>2.4653467176206902E-2</v>
      </c>
      <c r="EN79" s="80">
        <v>1.17938525597421E-2</v>
      </c>
      <c r="EO79" s="80">
        <v>0.22511119883640199</v>
      </c>
      <c r="EP79" s="80">
        <v>5.5470467157533503E-2</v>
      </c>
      <c r="EQ79" s="80">
        <v>2.0909180469693599E-2</v>
      </c>
      <c r="ER79" s="80">
        <v>1.35791139421499E-2</v>
      </c>
    </row>
    <row r="80" spans="1:148" ht="28" customHeight="1">
      <c r="B80" s="9">
        <f t="shared" si="6"/>
        <v>79</v>
      </c>
      <c r="C80">
        <v>80</v>
      </c>
      <c r="D80" s="46" t="s">
        <v>513</v>
      </c>
      <c r="E80" s="46">
        <v>67042552</v>
      </c>
      <c r="F80" s="48">
        <v>31.428571428571427</v>
      </c>
      <c r="G80" s="9">
        <v>2</v>
      </c>
      <c r="H80" s="4">
        <v>45427</v>
      </c>
      <c r="I80" s="1">
        <v>43</v>
      </c>
      <c r="K80" s="1">
        <v>2</v>
      </c>
      <c r="L80" s="9">
        <v>2</v>
      </c>
      <c r="M80" s="56">
        <v>45384</v>
      </c>
      <c r="N80" s="1">
        <v>6228</v>
      </c>
      <c r="O80" s="48">
        <f>0.273603082851638*100</f>
        <v>27.360308285163796</v>
      </c>
      <c r="P80" s="17">
        <v>3</v>
      </c>
      <c r="Q80" s="57">
        <v>1</v>
      </c>
      <c r="R80" s="60">
        <v>45422</v>
      </c>
      <c r="S80" s="57">
        <v>2</v>
      </c>
      <c r="T80" s="59">
        <v>0</v>
      </c>
      <c r="U80" s="59">
        <v>9</v>
      </c>
      <c r="V80" s="59">
        <v>9</v>
      </c>
      <c r="W80" s="59">
        <v>21</v>
      </c>
      <c r="X80" s="59">
        <v>22</v>
      </c>
      <c r="Y80" s="59">
        <v>4</v>
      </c>
      <c r="Z80" s="59">
        <v>24</v>
      </c>
      <c r="AA80" s="59">
        <v>2</v>
      </c>
      <c r="AB80" s="59">
        <v>1</v>
      </c>
      <c r="AC80" s="9">
        <v>9</v>
      </c>
      <c r="AD80" s="9">
        <v>9</v>
      </c>
      <c r="AE80" s="9">
        <v>5</v>
      </c>
      <c r="AF80" s="9">
        <v>2</v>
      </c>
      <c r="AG80" s="9">
        <v>2</v>
      </c>
      <c r="AH80" s="9">
        <v>2</v>
      </c>
      <c r="AI80" s="9">
        <v>1</v>
      </c>
      <c r="AJ80" s="9">
        <v>1</v>
      </c>
      <c r="AK80" s="9">
        <v>2</v>
      </c>
      <c r="AL80" s="9">
        <v>36</v>
      </c>
      <c r="AM80" s="9">
        <v>2</v>
      </c>
      <c r="AN80" s="9">
        <v>1</v>
      </c>
      <c r="AO80" s="9" t="s">
        <v>572</v>
      </c>
      <c r="AP80" s="66" t="s">
        <v>573</v>
      </c>
      <c r="AQ80" s="67" t="s">
        <v>574</v>
      </c>
      <c r="AR80" s="9" t="s">
        <v>554</v>
      </c>
      <c r="AS80" s="9">
        <v>1</v>
      </c>
      <c r="AT80" s="9">
        <v>2</v>
      </c>
      <c r="AU80" s="9">
        <v>2</v>
      </c>
      <c r="AV80" s="9">
        <v>38</v>
      </c>
      <c r="AW80" s="9">
        <v>1</v>
      </c>
      <c r="AY80" s="9">
        <v>1685</v>
      </c>
      <c r="AZ80" s="9">
        <v>3</v>
      </c>
      <c r="BA80" s="9">
        <v>3</v>
      </c>
      <c r="BB80" s="9">
        <v>40</v>
      </c>
      <c r="BC80" s="9">
        <v>4</v>
      </c>
      <c r="BD80" s="9">
        <v>29</v>
      </c>
      <c r="BE80" s="9">
        <v>4</v>
      </c>
      <c r="BF80" s="9">
        <v>2430</v>
      </c>
      <c r="BG80" s="9">
        <v>2</v>
      </c>
      <c r="BH80" s="9">
        <v>47</v>
      </c>
      <c r="BI80" s="9">
        <v>3</v>
      </c>
      <c r="BJ80" s="9">
        <v>33</v>
      </c>
      <c r="BK80" s="9">
        <v>3</v>
      </c>
      <c r="BL80" s="9">
        <v>2</v>
      </c>
      <c r="BN80" s="9">
        <v>1</v>
      </c>
      <c r="BP80" s="9">
        <v>1</v>
      </c>
      <c r="BR80" s="9">
        <v>1</v>
      </c>
      <c r="BS80" s="9">
        <v>2</v>
      </c>
      <c r="BT80" s="53">
        <v>45384</v>
      </c>
      <c r="BU80" s="52">
        <v>45434</v>
      </c>
      <c r="BV80" s="51">
        <v>1</v>
      </c>
      <c r="BW80" s="51">
        <v>2</v>
      </c>
      <c r="BX80" s="51">
        <v>1</v>
      </c>
      <c r="BY80" s="51">
        <v>1</v>
      </c>
      <c r="BZ80" s="51">
        <v>45</v>
      </c>
      <c r="CA80" s="9">
        <v>1</v>
      </c>
      <c r="CB80" s="54">
        <v>45388</v>
      </c>
      <c r="CC80" s="53">
        <v>45407</v>
      </c>
      <c r="CD80" s="9">
        <v>19</v>
      </c>
      <c r="CE80" s="80">
        <v>0.26277676996006799</v>
      </c>
      <c r="CF80" s="80">
        <v>0.27010155001951502</v>
      </c>
      <c r="CG80" s="80">
        <v>0.27793715657366702</v>
      </c>
      <c r="CH80" s="80">
        <v>0.26597610967350499</v>
      </c>
      <c r="CI80" s="80">
        <v>0.22753668039050001</v>
      </c>
      <c r="CJ80" s="80">
        <v>0.24087433148718701</v>
      </c>
      <c r="CK80" s="80">
        <v>0.242092425661076</v>
      </c>
      <c r="CL80" s="80">
        <v>0.220395288643077</v>
      </c>
      <c r="CM80" s="80">
        <v>0.30236923488353201</v>
      </c>
      <c r="CN80" s="80">
        <v>0.23642890107023801</v>
      </c>
      <c r="CO80" s="80">
        <v>0.25212991334513302</v>
      </c>
      <c r="CP80" s="80">
        <v>0.24440086502497399</v>
      </c>
      <c r="CQ80" s="80">
        <v>0.31229812396038598</v>
      </c>
      <c r="CR80" s="80">
        <v>0.37235948878734798</v>
      </c>
      <c r="CS80" s="80">
        <v>0.33974340460587998</v>
      </c>
      <c r="CT80" s="80">
        <v>0.31994542203819698</v>
      </c>
      <c r="CU80" s="80">
        <v>0.37960927960927998</v>
      </c>
      <c r="CV80" s="80">
        <v>0.416147741147741</v>
      </c>
      <c r="CW80" s="80">
        <v>0.43269230769230799</v>
      </c>
      <c r="CX80" s="80">
        <v>0.42319902319902297</v>
      </c>
      <c r="CY80" s="80">
        <v>0.31517094017093999</v>
      </c>
      <c r="CZ80" s="80">
        <v>0.36004273504273498</v>
      </c>
      <c r="DA80" s="80">
        <v>0.36538461538461597</v>
      </c>
      <c r="DB80" s="80">
        <v>0.34209401709401699</v>
      </c>
      <c r="DC80" s="80">
        <v>0.42072561740872899</v>
      </c>
      <c r="DD80" s="80">
        <v>0.361215411588928</v>
      </c>
      <c r="DE80" s="80">
        <v>0.38259342280713499</v>
      </c>
      <c r="DF80" s="80">
        <v>0.38123495841761601</v>
      </c>
      <c r="DG80" s="80">
        <v>0.424942988745596</v>
      </c>
      <c r="DH80" s="80">
        <v>0.54753804653598703</v>
      </c>
      <c r="DI80" s="80">
        <v>0.51327992779041598</v>
      </c>
      <c r="DJ80" s="80">
        <v>0.49748029552189499</v>
      </c>
      <c r="DK80" s="80">
        <v>0.32051282051282098</v>
      </c>
      <c r="DL80" s="80">
        <v>0.32051282051282098</v>
      </c>
      <c r="DM80" s="80">
        <v>0.29487179487179499</v>
      </c>
      <c r="DN80" s="80">
        <v>0.28205128205128199</v>
      </c>
      <c r="DO80" s="80">
        <v>0.33846153846153898</v>
      </c>
      <c r="DP80" s="80">
        <v>0.42051282051282102</v>
      </c>
      <c r="DQ80" s="80">
        <v>0.41025641025641002</v>
      </c>
      <c r="DR80" s="80">
        <v>0.43846153846153801</v>
      </c>
      <c r="DS80" s="80">
        <v>2.6363636363636398</v>
      </c>
      <c r="DT80" s="80">
        <v>2.8787878787878798</v>
      </c>
      <c r="DU80" s="80">
        <v>2.6212121212121202</v>
      </c>
      <c r="DV80" s="80">
        <v>2.8030303030303001</v>
      </c>
      <c r="DW80" s="80">
        <v>1.80555555555556</v>
      </c>
      <c r="DX80" s="80">
        <v>2</v>
      </c>
      <c r="DY80" s="80">
        <v>1.93333333333333</v>
      </c>
      <c r="DZ80" s="80">
        <v>2.2888888888888901</v>
      </c>
      <c r="EA80" s="80">
        <v>36.816023940561401</v>
      </c>
      <c r="EB80" s="80">
        <v>10.0102188538651</v>
      </c>
      <c r="EC80" s="80">
        <v>3.92047654850079</v>
      </c>
      <c r="ED80" s="80">
        <v>1.66358895926078</v>
      </c>
      <c r="EE80" s="80">
        <v>249.04278017182099</v>
      </c>
      <c r="EF80" s="80">
        <v>51.115883820771799</v>
      </c>
      <c r="EG80" s="80">
        <v>13.405270919904501</v>
      </c>
      <c r="EH80" s="80">
        <v>5.9345301273106603</v>
      </c>
      <c r="EI80" s="80">
        <v>3.2553676884942599</v>
      </c>
      <c r="EJ80" s="80">
        <v>337.68698448433997</v>
      </c>
      <c r="EK80" s="80">
        <v>0.147830119448398</v>
      </c>
      <c r="EL80" s="80">
        <v>4.0194776363156597E-2</v>
      </c>
      <c r="EM80" s="80">
        <v>1.5742181105575299E-2</v>
      </c>
      <c r="EN80" s="80">
        <v>6.6799324923735104E-3</v>
      </c>
      <c r="EO80" s="80">
        <v>0.15137060701000199</v>
      </c>
      <c r="EP80" s="80">
        <v>3.9697327808990802E-2</v>
      </c>
      <c r="EQ80" s="80">
        <v>1.7574056448675102E-2</v>
      </c>
      <c r="ER80" s="80">
        <v>9.6401929540320206E-3</v>
      </c>
    </row>
    <row r="81" spans="2:148" ht="28" customHeight="1">
      <c r="B81" s="9">
        <f t="shared" si="6"/>
        <v>80</v>
      </c>
      <c r="C81">
        <v>81</v>
      </c>
      <c r="D81" s="46" t="s">
        <v>520</v>
      </c>
      <c r="E81" s="49">
        <v>67265544</v>
      </c>
      <c r="F81" s="48">
        <v>33.428571428571431</v>
      </c>
      <c r="G81" s="9">
        <v>3</v>
      </c>
      <c r="H81" s="56">
        <v>45651</v>
      </c>
      <c r="I81" s="1">
        <v>24</v>
      </c>
      <c r="J81" s="9">
        <v>36.857142857142854</v>
      </c>
      <c r="K81" s="49">
        <v>1</v>
      </c>
      <c r="L81" s="1"/>
      <c r="M81" s="56">
        <v>45627</v>
      </c>
      <c r="N81" s="49">
        <v>4956</v>
      </c>
      <c r="O81" s="62">
        <v>0</v>
      </c>
      <c r="P81" s="17">
        <v>1</v>
      </c>
      <c r="Q81" s="57">
        <v>1</v>
      </c>
      <c r="R81" s="63" t="s">
        <v>523</v>
      </c>
      <c r="S81" s="57">
        <v>2</v>
      </c>
      <c r="T81" s="59">
        <v>1</v>
      </c>
      <c r="U81" s="59">
        <v>8</v>
      </c>
      <c r="V81" s="59">
        <v>9</v>
      </c>
      <c r="W81" s="59">
        <v>12</v>
      </c>
      <c r="X81" s="61">
        <v>1</v>
      </c>
      <c r="Y81" s="59">
        <v>10</v>
      </c>
      <c r="Z81" s="59">
        <v>5</v>
      </c>
      <c r="AA81" s="61">
        <v>1</v>
      </c>
      <c r="AB81" s="59">
        <v>1</v>
      </c>
      <c r="AC81" s="9">
        <v>9</v>
      </c>
      <c r="AD81" s="9">
        <v>9</v>
      </c>
      <c r="AE81" s="9">
        <v>1</v>
      </c>
      <c r="AF81" s="9">
        <v>1</v>
      </c>
      <c r="AG81" s="9">
        <v>1</v>
      </c>
      <c r="AH81" s="9">
        <v>2</v>
      </c>
      <c r="AI81" s="9">
        <v>1</v>
      </c>
      <c r="AJ81" s="9">
        <v>1</v>
      </c>
      <c r="AK81" s="9">
        <v>1</v>
      </c>
      <c r="AL81" s="9">
        <v>30</v>
      </c>
      <c r="AM81" s="9">
        <v>1</v>
      </c>
      <c r="AN81" s="9">
        <v>1</v>
      </c>
      <c r="AO81" s="9" t="s">
        <v>330</v>
      </c>
      <c r="AP81" s="43" t="s">
        <v>591</v>
      </c>
      <c r="AQ81" s="9" t="s">
        <v>563</v>
      </c>
      <c r="AR81" s="9" t="s">
        <v>564</v>
      </c>
      <c r="AS81" s="9">
        <v>1</v>
      </c>
      <c r="AT81" s="9">
        <v>2</v>
      </c>
      <c r="AU81" s="9">
        <v>1</v>
      </c>
      <c r="AV81" s="9">
        <v>38</v>
      </c>
      <c r="AW81" s="9">
        <v>0</v>
      </c>
      <c r="AY81" s="9">
        <v>1750</v>
      </c>
      <c r="AZ81" s="9">
        <v>3</v>
      </c>
      <c r="BA81" s="9">
        <v>3</v>
      </c>
      <c r="BB81" s="9">
        <v>43</v>
      </c>
      <c r="BC81" s="9">
        <v>3</v>
      </c>
      <c r="BD81" s="9">
        <v>29</v>
      </c>
      <c r="BE81" s="9">
        <v>3</v>
      </c>
      <c r="BF81" s="9">
        <v>2390</v>
      </c>
      <c r="BG81" s="9">
        <v>2</v>
      </c>
      <c r="BH81" s="9">
        <v>46</v>
      </c>
      <c r="BI81" s="9">
        <v>3</v>
      </c>
      <c r="BJ81" s="9">
        <v>34</v>
      </c>
      <c r="BK81" s="9">
        <v>3</v>
      </c>
      <c r="BL81" s="9">
        <v>1</v>
      </c>
      <c r="BN81" s="9">
        <v>1</v>
      </c>
      <c r="BP81" s="9">
        <v>1</v>
      </c>
      <c r="BR81" s="9">
        <v>1</v>
      </c>
      <c r="BS81" s="9">
        <v>1</v>
      </c>
      <c r="BT81" s="55">
        <v>45627</v>
      </c>
      <c r="BU81" s="55">
        <v>45664</v>
      </c>
      <c r="BV81" s="51">
        <v>1</v>
      </c>
      <c r="BW81" s="51">
        <v>1</v>
      </c>
      <c r="BX81" s="50"/>
      <c r="BY81" s="51">
        <v>1</v>
      </c>
      <c r="BZ81" s="50">
        <v>0</v>
      </c>
      <c r="CA81" s="9">
        <v>1</v>
      </c>
      <c r="CB81" s="54">
        <v>45628</v>
      </c>
      <c r="CC81" s="53">
        <v>45644</v>
      </c>
      <c r="CD81" s="9">
        <v>16</v>
      </c>
      <c r="CE81" s="80">
        <v>0.26878447813615097</v>
      </c>
      <c r="CF81" s="80">
        <v>0.24630112991613201</v>
      </c>
      <c r="CG81" s="80">
        <v>0.29387950957222297</v>
      </c>
      <c r="CH81" s="80">
        <v>0.28982594817102603</v>
      </c>
      <c r="CI81" s="80">
        <v>0.264733164475705</v>
      </c>
      <c r="CJ81" s="80">
        <v>0.25723787526515801</v>
      </c>
      <c r="CK81" s="80">
        <v>0.24614671719823999</v>
      </c>
      <c r="CL81" s="80">
        <v>0.23828439655149999</v>
      </c>
      <c r="CM81" s="80">
        <v>0.36280299475797001</v>
      </c>
      <c r="CN81" s="80">
        <v>0.22039657831569201</v>
      </c>
      <c r="CO81" s="80">
        <v>0.18009655319024301</v>
      </c>
      <c r="CP81" s="80">
        <v>0.177956838469501</v>
      </c>
      <c r="CQ81" s="80">
        <v>0.194835858889568</v>
      </c>
      <c r="CR81" s="80">
        <v>0.426353321549583</v>
      </c>
      <c r="CS81" s="80">
        <v>0.21470649285507301</v>
      </c>
      <c r="CT81" s="80">
        <v>0.205987056187486</v>
      </c>
      <c r="CU81" s="80">
        <v>0.381410256410257</v>
      </c>
      <c r="CV81" s="80">
        <v>0.37072649572649602</v>
      </c>
      <c r="CW81" s="80">
        <v>0.46103479853479901</v>
      </c>
      <c r="CX81" s="80">
        <v>0.46103479853479901</v>
      </c>
      <c r="CY81" s="80">
        <v>0.36645299145299198</v>
      </c>
      <c r="CZ81" s="80">
        <v>0.35897435897435898</v>
      </c>
      <c r="DA81" s="80">
        <v>0.368589743589744</v>
      </c>
      <c r="DB81" s="80">
        <v>0.37713675213675202</v>
      </c>
      <c r="DC81" s="80">
        <v>0.50848543467014296</v>
      </c>
      <c r="DD81" s="80">
        <v>0.31794871794871798</v>
      </c>
      <c r="DE81" s="80">
        <v>0.27435897435897399</v>
      </c>
      <c r="DF81" s="80">
        <v>0.27435897435897399</v>
      </c>
      <c r="DG81" s="80">
        <v>0.261296174076312</v>
      </c>
      <c r="DH81" s="80">
        <v>0.60199257207974399</v>
      </c>
      <c r="DI81" s="80">
        <v>0.318741844926553</v>
      </c>
      <c r="DJ81" s="80">
        <v>0.32051282051282098</v>
      </c>
      <c r="DK81" s="80">
        <v>0.44871794871794901</v>
      </c>
      <c r="DL81" s="80">
        <v>0.31794871794871798</v>
      </c>
      <c r="DM81" s="80">
        <v>0.27435897435897399</v>
      </c>
      <c r="DN81" s="80">
        <v>0.27435897435897399</v>
      </c>
      <c r="DO81" s="80">
        <v>0.230769230769231</v>
      </c>
      <c r="DP81" s="80">
        <v>0.44102564102564101</v>
      </c>
      <c r="DQ81" s="80">
        <v>0.258974358974359</v>
      </c>
      <c r="DR81" s="80">
        <v>0.32051282051282098</v>
      </c>
      <c r="DS81" s="80">
        <v>2.5636363636363599</v>
      </c>
      <c r="DT81" s="80">
        <v>1.9347826086956501</v>
      </c>
      <c r="DU81" s="80">
        <v>3.0897435897435899</v>
      </c>
      <c r="DV81" s="80">
        <v>3.0897435897435899</v>
      </c>
      <c r="DW81" s="80">
        <v>2</v>
      </c>
      <c r="DX81" s="80">
        <v>2.0222222222222199</v>
      </c>
      <c r="DY81" s="80">
        <v>1.97826086956522</v>
      </c>
      <c r="DZ81" s="80">
        <v>1.8695652173913</v>
      </c>
      <c r="EA81" s="80">
        <v>59.040643161810898</v>
      </c>
      <c r="EB81" s="80">
        <v>11.131333443493</v>
      </c>
      <c r="EC81" s="80">
        <v>4.4350580404234403</v>
      </c>
      <c r="ED81" s="80">
        <v>3.0421844951292401</v>
      </c>
      <c r="EE81" s="80">
        <v>301.693696240203</v>
      </c>
      <c r="EF81" s="80">
        <v>73.238425398140194</v>
      </c>
      <c r="EG81" s="80">
        <v>13.322935624821399</v>
      </c>
      <c r="EH81" s="80">
        <v>4.5181936930843198</v>
      </c>
      <c r="EI81" s="80">
        <v>2.7980495404151999</v>
      </c>
      <c r="EJ81" s="80">
        <v>337.61429756034102</v>
      </c>
      <c r="EK81" s="80">
        <v>0.19569730457610801</v>
      </c>
      <c r="EL81" s="80">
        <v>3.6896141955284401E-2</v>
      </c>
      <c r="EM81" s="80">
        <v>1.4700532678323899E-2</v>
      </c>
      <c r="EN81" s="80">
        <v>1.00836859803233E-2</v>
      </c>
      <c r="EO81" s="80">
        <v>0.21692927677344701</v>
      </c>
      <c r="EP81" s="80">
        <v>3.9462000635326198E-2</v>
      </c>
      <c r="EQ81" s="80">
        <v>1.33827083915982E-2</v>
      </c>
      <c r="ER81" s="80">
        <v>8.2877104454236305E-3</v>
      </c>
    </row>
    <row r="82" spans="2:148" ht="28" customHeight="1">
      <c r="B82" s="9">
        <f t="shared" si="6"/>
        <v>81</v>
      </c>
      <c r="C82">
        <v>82</v>
      </c>
      <c r="D82" s="46" t="s">
        <v>521</v>
      </c>
      <c r="E82" s="49">
        <v>67258797</v>
      </c>
      <c r="F82" s="48">
        <v>29.285714285714285</v>
      </c>
      <c r="G82" s="9">
        <v>2</v>
      </c>
      <c r="H82" s="56">
        <v>45649</v>
      </c>
      <c r="I82" s="1">
        <v>31</v>
      </c>
      <c r="J82" s="9">
        <v>33.714285714285715</v>
      </c>
      <c r="K82" s="49">
        <v>2</v>
      </c>
      <c r="L82" s="9">
        <v>1</v>
      </c>
      <c r="M82" s="56">
        <v>45618</v>
      </c>
      <c r="N82" s="49">
        <v>8344</v>
      </c>
      <c r="O82" s="62">
        <v>2.2051773729626101</v>
      </c>
      <c r="P82" s="49">
        <v>2</v>
      </c>
      <c r="Q82" s="57">
        <v>1</v>
      </c>
      <c r="R82" s="58">
        <v>45671</v>
      </c>
      <c r="S82" s="63">
        <v>2</v>
      </c>
      <c r="T82" s="59">
        <v>9</v>
      </c>
      <c r="U82" s="59">
        <v>35</v>
      </c>
      <c r="V82" s="59">
        <v>44</v>
      </c>
      <c r="W82" s="59">
        <v>6</v>
      </c>
      <c r="X82" s="61">
        <v>20</v>
      </c>
      <c r="Y82" s="59">
        <v>6</v>
      </c>
      <c r="Z82" s="59">
        <v>18</v>
      </c>
      <c r="AA82" s="61">
        <v>2</v>
      </c>
      <c r="AB82" s="59">
        <v>1</v>
      </c>
      <c r="AC82" s="9">
        <v>10</v>
      </c>
      <c r="AD82" s="9">
        <v>10</v>
      </c>
      <c r="AE82" s="9">
        <v>1</v>
      </c>
      <c r="AF82" s="9">
        <v>1</v>
      </c>
      <c r="AG82" s="9">
        <v>1</v>
      </c>
      <c r="AH82" s="9">
        <v>2</v>
      </c>
      <c r="AI82" s="9">
        <v>1</v>
      </c>
      <c r="AJ82" s="9">
        <v>1</v>
      </c>
      <c r="AK82" s="9">
        <v>1</v>
      </c>
      <c r="AL82" s="9">
        <v>31</v>
      </c>
      <c r="AM82" s="9">
        <v>1</v>
      </c>
      <c r="AN82" s="9">
        <v>1</v>
      </c>
      <c r="AO82" s="9" t="s">
        <v>592</v>
      </c>
      <c r="AP82" s="43" t="s">
        <v>593</v>
      </c>
      <c r="AQ82" s="9" t="s">
        <v>565</v>
      </c>
      <c r="AR82" s="9" t="s">
        <v>566</v>
      </c>
      <c r="AS82" s="9">
        <v>1</v>
      </c>
      <c r="AT82" s="9">
        <v>2</v>
      </c>
      <c r="AU82" s="9">
        <v>1</v>
      </c>
      <c r="AV82" s="9">
        <v>37</v>
      </c>
      <c r="AW82" s="9">
        <v>1</v>
      </c>
      <c r="AY82" s="9">
        <v>1390</v>
      </c>
      <c r="AZ82" s="9">
        <v>2</v>
      </c>
      <c r="BA82" s="9">
        <v>4</v>
      </c>
      <c r="BB82" s="9">
        <v>35</v>
      </c>
      <c r="BC82" s="9">
        <v>5</v>
      </c>
      <c r="BD82" s="9">
        <v>27</v>
      </c>
      <c r="BE82" s="9">
        <v>4</v>
      </c>
      <c r="BF82" s="9">
        <v>2695</v>
      </c>
      <c r="BG82" s="9">
        <v>3</v>
      </c>
      <c r="BH82" s="9">
        <v>49</v>
      </c>
      <c r="BI82" s="9">
        <v>3</v>
      </c>
      <c r="BJ82" s="9">
        <v>31</v>
      </c>
      <c r="BK82" s="9">
        <v>3</v>
      </c>
      <c r="BL82" s="9">
        <v>1</v>
      </c>
      <c r="BN82" s="9">
        <v>2</v>
      </c>
      <c r="BO82" s="9">
        <v>2</v>
      </c>
      <c r="BP82" s="9">
        <v>1</v>
      </c>
      <c r="BR82" s="9">
        <v>1</v>
      </c>
      <c r="BS82" s="9">
        <v>1</v>
      </c>
      <c r="BT82" s="55">
        <v>45618</v>
      </c>
      <c r="BU82" s="55">
        <v>45678</v>
      </c>
      <c r="BV82" s="51">
        <v>1</v>
      </c>
      <c r="BW82" s="51">
        <v>1</v>
      </c>
      <c r="BX82" s="50"/>
      <c r="BY82" s="51">
        <v>1</v>
      </c>
      <c r="BZ82" s="50">
        <v>0</v>
      </c>
      <c r="CA82" s="9">
        <v>1</v>
      </c>
      <c r="CB82" s="54">
        <v>45619</v>
      </c>
      <c r="CC82" s="53">
        <v>45644</v>
      </c>
      <c r="CD82" s="9">
        <v>25</v>
      </c>
      <c r="CE82" s="80">
        <v>0.26892383302362799</v>
      </c>
      <c r="CF82" s="80">
        <v>0.33622879327764899</v>
      </c>
      <c r="CG82" s="80">
        <v>0.340492876207172</v>
      </c>
      <c r="CH82" s="80">
        <v>0.335685475950524</v>
      </c>
      <c r="CI82" s="80">
        <v>0.255743018923348</v>
      </c>
      <c r="CJ82" s="80">
        <v>0.25375112341540801</v>
      </c>
      <c r="CK82" s="80">
        <v>0.259420962008653</v>
      </c>
      <c r="CL82" s="80">
        <v>0.25828934516952901</v>
      </c>
      <c r="CM82" s="80">
        <v>0.32571850604740199</v>
      </c>
      <c r="CN82" s="80">
        <v>0.26585705855505498</v>
      </c>
      <c r="CO82" s="80">
        <v>0.313866296667621</v>
      </c>
      <c r="CP82" s="80">
        <v>0.29357499900322298</v>
      </c>
      <c r="CQ82" s="80">
        <v>0.321852033893541</v>
      </c>
      <c r="CR82" s="80">
        <v>0.29184013043033102</v>
      </c>
      <c r="CS82" s="80">
        <v>0.26318640036548602</v>
      </c>
      <c r="CT82" s="80">
        <v>0.27386620714680499</v>
      </c>
      <c r="CU82" s="80">
        <v>0.401709401709402</v>
      </c>
      <c r="CV82" s="80">
        <v>0.46474358974358998</v>
      </c>
      <c r="CW82" s="80">
        <v>0.46153846153846201</v>
      </c>
      <c r="CX82" s="80">
        <v>0.46474358974358998</v>
      </c>
      <c r="CY82" s="80">
        <v>0.36431623931624002</v>
      </c>
      <c r="CZ82" s="80">
        <v>0.36645299145299198</v>
      </c>
      <c r="DA82" s="80">
        <v>0.38675213675213699</v>
      </c>
      <c r="DB82" s="80">
        <v>0.39059829059829099</v>
      </c>
      <c r="DC82" s="80">
        <v>0.478355344814346</v>
      </c>
      <c r="DD82" s="80">
        <v>0.36935592980415</v>
      </c>
      <c r="DE82" s="80">
        <v>0.420351295538054</v>
      </c>
      <c r="DF82" s="80">
        <v>0.40488591766605497</v>
      </c>
      <c r="DG82" s="80">
        <v>0.44364043558615202</v>
      </c>
      <c r="DH82" s="80">
        <v>0.40745002023015803</v>
      </c>
      <c r="DI82" s="80">
        <v>0.379164129537646</v>
      </c>
      <c r="DJ82" s="80">
        <v>0.40745002023015803</v>
      </c>
      <c r="DK82" s="80">
        <v>0.40256410256410302</v>
      </c>
      <c r="DL82" s="80">
        <v>0.32051282051282098</v>
      </c>
      <c r="DM82" s="80">
        <v>0.4</v>
      </c>
      <c r="DN82" s="80">
        <v>0.37435897435897397</v>
      </c>
      <c r="DO82" s="80">
        <v>0.35641025641025598</v>
      </c>
      <c r="DP82" s="80">
        <v>0.37692307692307703</v>
      </c>
      <c r="DQ82" s="80">
        <v>0.33846153846153898</v>
      </c>
      <c r="DR82" s="80">
        <v>0.37692307692307703</v>
      </c>
      <c r="DS82" s="80">
        <v>2.21818181818182</v>
      </c>
      <c r="DT82" s="80">
        <v>2.2272727272727302</v>
      </c>
      <c r="DU82" s="80">
        <v>2.25757575757576</v>
      </c>
      <c r="DV82" s="80">
        <v>2.2272727272727302</v>
      </c>
      <c r="DW82" s="80">
        <v>1.93333333333333</v>
      </c>
      <c r="DX82" s="80">
        <v>1.97826086956522</v>
      </c>
      <c r="DY82" s="80">
        <v>2.5535714285714302</v>
      </c>
      <c r="DZ82" s="80">
        <v>2.5</v>
      </c>
      <c r="EA82" s="80">
        <v>29.683080049913698</v>
      </c>
      <c r="EB82" s="80">
        <v>12.006403706216799</v>
      </c>
      <c r="EC82" s="80">
        <v>5.1623536869579496</v>
      </c>
      <c r="ED82" s="80">
        <v>2.5356605869046902</v>
      </c>
      <c r="EE82" s="80">
        <v>129.27956697584901</v>
      </c>
      <c r="EF82" s="80">
        <v>62.006926077077502</v>
      </c>
      <c r="EG82" s="80">
        <v>13.934621586959899</v>
      </c>
      <c r="EH82" s="80">
        <v>5.6175883710472299</v>
      </c>
      <c r="EI82" s="80">
        <v>3.3308249035492099</v>
      </c>
      <c r="EJ82" s="80">
        <v>298.608082898558</v>
      </c>
      <c r="EK82" s="80">
        <v>0.22960380162364599</v>
      </c>
      <c r="EL82" s="80">
        <v>9.2871626870932894E-2</v>
      </c>
      <c r="EM82" s="80">
        <v>3.9931706206305102E-2</v>
      </c>
      <c r="EN82" s="80">
        <v>1.9613776919429102E-2</v>
      </c>
      <c r="EO82" s="80">
        <v>0.20765320709065399</v>
      </c>
      <c r="EP82" s="80">
        <v>4.6665252499858603E-2</v>
      </c>
      <c r="EQ82" s="80">
        <v>1.8812579741706501E-2</v>
      </c>
      <c r="ER82" s="80">
        <v>1.11545034923946E-2</v>
      </c>
    </row>
    <row r="83" spans="2:148" ht="28" customHeight="1">
      <c r="B83" s="9">
        <f t="shared" si="6"/>
        <v>82</v>
      </c>
      <c r="C83">
        <v>83</v>
      </c>
      <c r="D83" s="46" t="s">
        <v>522</v>
      </c>
      <c r="E83" s="49">
        <v>67229448</v>
      </c>
      <c r="F83" s="48">
        <v>28.285714285714285</v>
      </c>
      <c r="G83" s="9">
        <v>2</v>
      </c>
      <c r="H83" s="56">
        <v>45642</v>
      </c>
      <c r="I83" s="1">
        <v>61</v>
      </c>
      <c r="J83" s="9">
        <v>37</v>
      </c>
      <c r="K83" s="49">
        <v>1</v>
      </c>
      <c r="L83" s="49"/>
      <c r="M83" s="56">
        <v>45581</v>
      </c>
      <c r="N83" s="49">
        <v>3904</v>
      </c>
      <c r="O83" s="62">
        <v>0</v>
      </c>
      <c r="P83" s="49">
        <v>1</v>
      </c>
      <c r="Q83" s="57">
        <v>1</v>
      </c>
      <c r="R83" s="58">
        <v>45636</v>
      </c>
      <c r="S83" s="57">
        <v>2</v>
      </c>
      <c r="T83" s="59">
        <v>4</v>
      </c>
      <c r="U83" s="59">
        <v>45</v>
      </c>
      <c r="V83" s="59">
        <v>49</v>
      </c>
      <c r="W83" s="59">
        <v>6</v>
      </c>
      <c r="X83" s="61">
        <v>15</v>
      </c>
      <c r="Y83" s="59">
        <v>5</v>
      </c>
      <c r="Z83" s="59">
        <v>19</v>
      </c>
      <c r="AA83" s="61">
        <v>1</v>
      </c>
      <c r="AB83" s="59">
        <v>1</v>
      </c>
      <c r="AC83" s="9">
        <v>8</v>
      </c>
      <c r="AD83" s="9">
        <v>10</v>
      </c>
      <c r="AE83" s="9">
        <v>1</v>
      </c>
      <c r="AF83" s="9">
        <v>2</v>
      </c>
      <c r="AG83" s="9">
        <v>1</v>
      </c>
      <c r="AH83" s="9">
        <v>2</v>
      </c>
      <c r="AI83" s="9">
        <v>1</v>
      </c>
      <c r="AJ83" s="9">
        <v>2</v>
      </c>
      <c r="AK83" s="9">
        <v>1</v>
      </c>
      <c r="AL83" s="9">
        <v>33</v>
      </c>
      <c r="AM83" s="9">
        <v>2</v>
      </c>
      <c r="AN83" s="9">
        <v>1</v>
      </c>
      <c r="AO83" s="9" t="s">
        <v>594</v>
      </c>
      <c r="AP83" s="9" t="s">
        <v>595</v>
      </c>
      <c r="AQ83" s="9" t="s">
        <v>596</v>
      </c>
      <c r="AR83" s="9" t="s">
        <v>567</v>
      </c>
      <c r="AS83" s="9">
        <v>1</v>
      </c>
      <c r="AT83" s="9">
        <v>2</v>
      </c>
      <c r="AU83" s="9">
        <v>3</v>
      </c>
      <c r="AV83" s="9">
        <v>37</v>
      </c>
      <c r="AW83" s="9">
        <v>0</v>
      </c>
      <c r="AY83" s="9">
        <v>1480</v>
      </c>
      <c r="AZ83" s="9">
        <v>2</v>
      </c>
      <c r="BA83" s="9">
        <v>5</v>
      </c>
      <c r="BB83" s="9">
        <v>38</v>
      </c>
      <c r="BC83" s="9">
        <v>4</v>
      </c>
      <c r="BD83" s="9">
        <v>26</v>
      </c>
      <c r="BE83" s="9">
        <v>4</v>
      </c>
      <c r="BF83" s="9">
        <v>2985</v>
      </c>
      <c r="BG83" s="9">
        <v>4</v>
      </c>
      <c r="BH83" s="9">
        <v>41</v>
      </c>
      <c r="BI83" s="9">
        <v>1</v>
      </c>
      <c r="BL83" s="9">
        <v>1</v>
      </c>
      <c r="BN83" s="9">
        <v>2</v>
      </c>
      <c r="BO83" s="9">
        <v>2</v>
      </c>
      <c r="BP83" s="9">
        <v>1</v>
      </c>
      <c r="BR83" s="9">
        <v>2</v>
      </c>
      <c r="BS83" s="9">
        <v>1</v>
      </c>
      <c r="BT83" s="55">
        <v>45581</v>
      </c>
      <c r="BU83" s="55">
        <v>45646</v>
      </c>
      <c r="BV83" s="51">
        <v>2</v>
      </c>
      <c r="BW83" s="51">
        <v>1</v>
      </c>
      <c r="BX83" s="50"/>
      <c r="BY83" s="51">
        <v>2</v>
      </c>
      <c r="BZ83" s="50">
        <v>30</v>
      </c>
      <c r="CA83" s="9">
        <v>1</v>
      </c>
      <c r="CB83" s="53">
        <v>45582</v>
      </c>
      <c r="CC83" s="53">
        <v>45597</v>
      </c>
      <c r="CD83" s="9">
        <v>15</v>
      </c>
      <c r="CE83" s="80">
        <v>0.32574441616037098</v>
      </c>
      <c r="CF83" s="80">
        <v>0.17588846201021199</v>
      </c>
      <c r="CG83" s="80">
        <v>0.172440845348935</v>
      </c>
      <c r="CH83" s="80">
        <v>0.165837337043786</v>
      </c>
      <c r="CI83" s="80">
        <v>0.31769378897751999</v>
      </c>
      <c r="CJ83" s="80">
        <v>0.27100846702173798</v>
      </c>
      <c r="CK83" s="80">
        <v>0.16496247421817101</v>
      </c>
      <c r="CL83" s="80">
        <v>0.161285994840244</v>
      </c>
      <c r="CM83" s="80">
        <v>7.6358398605362796E-2</v>
      </c>
      <c r="CN83" s="80">
        <v>0.42657737340531598</v>
      </c>
      <c r="CO83" s="80">
        <v>0.42046337540701401</v>
      </c>
      <c r="CP83" s="80">
        <v>0.40485302767234199</v>
      </c>
      <c r="CQ83" s="80">
        <v>0.196748023743888</v>
      </c>
      <c r="CR83" s="80">
        <v>0.29074085436341202</v>
      </c>
      <c r="CS83" s="80">
        <v>0.43045722195969999</v>
      </c>
      <c r="CT83" s="80">
        <v>0.42863957265361602</v>
      </c>
      <c r="CU83" s="80">
        <v>0.492307692307692</v>
      </c>
      <c r="CV83" s="80">
        <v>0.283119658119658</v>
      </c>
      <c r="CW83" s="80">
        <v>0.283119658119658</v>
      </c>
      <c r="CX83" s="80">
        <v>0.283119658119658</v>
      </c>
      <c r="CY83" s="80">
        <v>0.46709401709401699</v>
      </c>
      <c r="CZ83" s="80">
        <v>0.40705128205128199</v>
      </c>
      <c r="DA83" s="80">
        <v>0.26068376068376098</v>
      </c>
      <c r="DB83" s="80">
        <v>0.26068376068376098</v>
      </c>
      <c r="DC83" s="80">
        <v>0.115384615384615</v>
      </c>
      <c r="DD83" s="80">
        <v>0.67834780590398003</v>
      </c>
      <c r="DE83" s="80">
        <v>0.67834780590398003</v>
      </c>
      <c r="DF83" s="80">
        <v>0.67834780590398003</v>
      </c>
      <c r="DG83" s="80">
        <v>0.269230769230769</v>
      </c>
      <c r="DH83" s="80">
        <v>0.428458620114268</v>
      </c>
      <c r="DI83" s="80">
        <v>0.67305807580100896</v>
      </c>
      <c r="DJ83" s="80">
        <v>0.68731152158801201</v>
      </c>
      <c r="DK83" s="80">
        <v>0.115384615384615</v>
      </c>
      <c r="DL83" s="80">
        <v>0.53846153846153899</v>
      </c>
      <c r="DM83" s="80">
        <v>0.53846153846153899</v>
      </c>
      <c r="DN83" s="80">
        <v>0.53846153846153899</v>
      </c>
      <c r="DO83" s="80">
        <v>0.269230769230769</v>
      </c>
      <c r="DP83" s="80">
        <v>0.36410256410256397</v>
      </c>
      <c r="DQ83" s="80">
        <v>0.512820512820513</v>
      </c>
      <c r="DR83" s="80">
        <v>0.57692307692307698</v>
      </c>
      <c r="DS83" s="80">
        <v>2.6666666666666701</v>
      </c>
      <c r="DT83" s="80">
        <v>1.6666666666666701</v>
      </c>
      <c r="DU83" s="80">
        <v>1.6666666666666701</v>
      </c>
      <c r="DV83" s="80">
        <v>1.6666666666666701</v>
      </c>
      <c r="DW83" s="80">
        <v>2.9102564102564101</v>
      </c>
      <c r="DX83" s="80">
        <v>2.16363636363636</v>
      </c>
      <c r="DY83" s="80">
        <v>1.4</v>
      </c>
      <c r="DZ83" s="80">
        <v>1.4</v>
      </c>
      <c r="EA83" s="80">
        <v>59.290430975472802</v>
      </c>
      <c r="EB83" s="80">
        <v>10.4140787417093</v>
      </c>
      <c r="EC83" s="80">
        <v>3.8619136001162602</v>
      </c>
      <c r="ED83" s="80">
        <v>1.9700750634481901</v>
      </c>
      <c r="EE83" s="80">
        <v>356.62564368656899</v>
      </c>
      <c r="EF83" s="80">
        <v>81.267921813650005</v>
      </c>
      <c r="EG83" s="80">
        <v>12.123020057230301</v>
      </c>
      <c r="EH83" s="80">
        <v>3.2827869274008799</v>
      </c>
      <c r="EI83" s="80">
        <v>2.0534646565207901</v>
      </c>
      <c r="EJ83" s="80">
        <v>367.40763240897098</v>
      </c>
      <c r="EK83" s="80">
        <v>0.166253975352322</v>
      </c>
      <c r="EL83" s="80">
        <v>2.9201710325861999E-2</v>
      </c>
      <c r="EM83" s="80">
        <v>1.08290406718772E-2</v>
      </c>
      <c r="EN83" s="80">
        <v>5.5242103262199702E-3</v>
      </c>
      <c r="EO83" s="80">
        <v>0.22119279689646901</v>
      </c>
      <c r="EP83" s="80">
        <v>3.2996102932711699E-2</v>
      </c>
      <c r="EQ83" s="80">
        <v>8.9349992700933495E-3</v>
      </c>
      <c r="ER83" s="80">
        <v>5.5890636867201096E-3</v>
      </c>
    </row>
    <row r="84" spans="2:148" ht="28" customHeight="1">
      <c r="B84" s="9">
        <f t="shared" si="6"/>
        <v>83</v>
      </c>
      <c r="C84">
        <v>84</v>
      </c>
      <c r="D84" s="46" t="s">
        <v>511</v>
      </c>
      <c r="E84" s="46">
        <v>67096459</v>
      </c>
      <c r="F84" s="48">
        <v>31.428571428571427</v>
      </c>
      <c r="G84" s="9">
        <v>2</v>
      </c>
      <c r="H84" s="4">
        <v>45481</v>
      </c>
      <c r="I84" s="1">
        <v>38</v>
      </c>
      <c r="J84" s="9">
        <v>36.857142857142854</v>
      </c>
      <c r="K84" s="1">
        <v>2</v>
      </c>
      <c r="L84" s="9">
        <v>1</v>
      </c>
      <c r="M84" s="56">
        <v>45443</v>
      </c>
      <c r="N84" s="1">
        <v>7304</v>
      </c>
      <c r="O84" s="48">
        <f>0.063526834611172*100</f>
        <v>6.3526834611172003</v>
      </c>
      <c r="P84" s="1">
        <v>2</v>
      </c>
      <c r="Q84" s="57">
        <v>1</v>
      </c>
      <c r="R84" s="58">
        <v>45478</v>
      </c>
      <c r="S84" s="57">
        <v>2</v>
      </c>
      <c r="T84" s="59">
        <v>0</v>
      </c>
      <c r="U84" s="59">
        <v>3</v>
      </c>
      <c r="V84" s="59">
        <v>3</v>
      </c>
      <c r="W84" s="59">
        <v>6</v>
      </c>
      <c r="X84" s="59">
        <v>0</v>
      </c>
      <c r="Y84" s="59">
        <v>13</v>
      </c>
      <c r="Z84" s="59">
        <v>11</v>
      </c>
      <c r="AA84" s="59">
        <v>2</v>
      </c>
      <c r="AB84" s="59">
        <v>1</v>
      </c>
      <c r="AC84" s="9">
        <v>9</v>
      </c>
      <c r="AD84" s="9">
        <v>10</v>
      </c>
      <c r="AE84" s="9">
        <v>1</v>
      </c>
      <c r="AF84" s="9">
        <v>2</v>
      </c>
      <c r="AG84" s="9">
        <v>1</v>
      </c>
      <c r="AH84" s="9">
        <v>1</v>
      </c>
      <c r="AI84" s="9">
        <v>2</v>
      </c>
      <c r="AJ84" s="9">
        <v>2</v>
      </c>
      <c r="AK84" s="9">
        <v>1</v>
      </c>
      <c r="AL84" s="9">
        <v>42</v>
      </c>
      <c r="AM84" s="9">
        <v>2</v>
      </c>
      <c r="AN84" s="9">
        <v>1</v>
      </c>
      <c r="AO84" s="9" t="s">
        <v>548</v>
      </c>
      <c r="AP84" s="43" t="s">
        <v>549</v>
      </c>
      <c r="AQ84" s="43" t="s">
        <v>550</v>
      </c>
      <c r="AR84" s="9" t="s">
        <v>551</v>
      </c>
      <c r="AS84" s="9">
        <v>1</v>
      </c>
      <c r="AT84" s="9">
        <v>2</v>
      </c>
      <c r="AU84" s="9">
        <v>4</v>
      </c>
      <c r="AV84" s="9">
        <v>37</v>
      </c>
      <c r="AW84" s="9">
        <v>2</v>
      </c>
      <c r="AX84" s="9">
        <f>AV84+AW84/7</f>
        <v>37.285714285714285</v>
      </c>
      <c r="AY84" s="9">
        <v>1585</v>
      </c>
      <c r="AZ84" s="9">
        <v>3</v>
      </c>
      <c r="BA84" s="9">
        <v>4</v>
      </c>
      <c r="BB84" s="9">
        <v>46</v>
      </c>
      <c r="BC84" s="9">
        <v>5</v>
      </c>
      <c r="BD84" s="9">
        <v>29</v>
      </c>
      <c r="BE84" s="9">
        <v>4</v>
      </c>
      <c r="BF84" s="9">
        <v>2270</v>
      </c>
      <c r="BG84" s="9">
        <v>3</v>
      </c>
      <c r="BH84" s="9">
        <v>48</v>
      </c>
      <c r="BI84" s="9">
        <v>4</v>
      </c>
      <c r="BJ84" s="9">
        <v>33</v>
      </c>
      <c r="BK84" s="9">
        <v>4</v>
      </c>
      <c r="BL84" s="9">
        <v>1</v>
      </c>
      <c r="BN84" s="9">
        <v>1</v>
      </c>
      <c r="BP84" s="9">
        <v>1</v>
      </c>
      <c r="BR84" s="9">
        <v>1</v>
      </c>
      <c r="BS84" s="9">
        <v>1</v>
      </c>
      <c r="BT84" s="53">
        <v>45443</v>
      </c>
      <c r="BU84" s="52">
        <v>45485</v>
      </c>
      <c r="BV84" s="51">
        <v>1</v>
      </c>
      <c r="BW84" s="51">
        <v>1</v>
      </c>
      <c r="BX84" s="51">
        <v>0</v>
      </c>
      <c r="BY84" s="51">
        <v>1</v>
      </c>
      <c r="BZ84" s="51">
        <v>0</v>
      </c>
      <c r="CA84" s="9">
        <v>1</v>
      </c>
      <c r="CB84" s="52">
        <v>45443</v>
      </c>
      <c r="CC84" s="52">
        <v>45462</v>
      </c>
      <c r="CD84" s="9">
        <v>19</v>
      </c>
      <c r="CE84" s="80">
        <v>0.21299926630622101</v>
      </c>
      <c r="CF84" s="80">
        <v>0.196369635292206</v>
      </c>
      <c r="CG84" s="80">
        <v>0.181642913285536</v>
      </c>
      <c r="CH84" s="80">
        <v>0.181072375663581</v>
      </c>
      <c r="CI84" s="80">
        <v>0.207784409798833</v>
      </c>
      <c r="CJ84" s="80">
        <v>0.207597261573124</v>
      </c>
      <c r="CK84" s="80">
        <v>0.18064066374284099</v>
      </c>
      <c r="CL84" s="80">
        <v>0.18521650109670701</v>
      </c>
      <c r="CM84" s="80">
        <v>0.27001450366471502</v>
      </c>
      <c r="CN84" s="80">
        <v>0.26225775745434798</v>
      </c>
      <c r="CO84" s="80">
        <v>0.267504399014727</v>
      </c>
      <c r="CP84" s="80">
        <v>0.27132182406935701</v>
      </c>
      <c r="CQ84" s="80">
        <v>0.32792158397279503</v>
      </c>
      <c r="CR84" s="80">
        <v>0.21828631413990901</v>
      </c>
      <c r="CS84" s="80">
        <v>0.32137369149205502</v>
      </c>
      <c r="CT84" s="80">
        <v>0.32777243586444998</v>
      </c>
      <c r="CU84" s="80">
        <v>0.316239316239316</v>
      </c>
      <c r="CV84" s="80">
        <v>0.31730769230769201</v>
      </c>
      <c r="CW84" s="80">
        <v>0.30064102564102602</v>
      </c>
      <c r="CX84" s="80">
        <v>0.30064102564102602</v>
      </c>
      <c r="CY84" s="80">
        <v>0.316239316239316</v>
      </c>
      <c r="CZ84" s="80">
        <v>0.35790598290598302</v>
      </c>
      <c r="DA84" s="80">
        <v>0.31410256410256399</v>
      </c>
      <c r="DB84" s="80">
        <v>0.322649572649573</v>
      </c>
      <c r="DC84" s="80">
        <v>0.37855439403996599</v>
      </c>
      <c r="DD84" s="80">
        <v>0.390478485814651</v>
      </c>
      <c r="DE84" s="80">
        <v>0.42124771658388199</v>
      </c>
      <c r="DF84" s="80">
        <v>0.42124771658388199</v>
      </c>
      <c r="DG84" s="80">
        <v>0.48640822670703998</v>
      </c>
      <c r="DH84" s="80">
        <v>0.34575003371693003</v>
      </c>
      <c r="DI84" s="80">
        <v>0.55287700399755402</v>
      </c>
      <c r="DJ84" s="80">
        <v>0.55596138081212099</v>
      </c>
      <c r="DK84" s="80">
        <v>0.32564102564102598</v>
      </c>
      <c r="DL84" s="80">
        <v>0.35384615384615398</v>
      </c>
      <c r="DM84" s="80">
        <v>0.38461538461538503</v>
      </c>
      <c r="DN84" s="80">
        <v>0.38461538461538503</v>
      </c>
      <c r="DO84" s="80">
        <v>0.45384615384615401</v>
      </c>
      <c r="DP84" s="80">
        <v>0.29487179487179499</v>
      </c>
      <c r="DQ84" s="80">
        <v>0.43076923076923102</v>
      </c>
      <c r="DR84" s="80">
        <v>0.43846153846153801</v>
      </c>
      <c r="DS84" s="80">
        <v>1.8918918918918901</v>
      </c>
      <c r="DT84" s="80">
        <v>1.7777777777777799</v>
      </c>
      <c r="DU84" s="80">
        <v>2.0833333333333299</v>
      </c>
      <c r="DV84" s="80">
        <v>2.0833333333333299</v>
      </c>
      <c r="DW84" s="80">
        <v>1.80555555555556</v>
      </c>
      <c r="DX84" s="80">
        <v>2.0222222222222199</v>
      </c>
      <c r="DY84" s="80">
        <v>1.8333333333333299</v>
      </c>
      <c r="DZ84" s="80">
        <v>1.69444444444444</v>
      </c>
      <c r="EA84" s="80">
        <v>25.234024680840601</v>
      </c>
      <c r="EB84" s="80">
        <v>7.4640126623781198</v>
      </c>
      <c r="EC84" s="80">
        <v>3.3845592006289502</v>
      </c>
      <c r="ED84" s="80">
        <v>2.8122691600804801</v>
      </c>
      <c r="EE84" s="80">
        <v>130.24515802347199</v>
      </c>
      <c r="EF84" s="80">
        <v>28.269524943953598</v>
      </c>
      <c r="EG84" s="80">
        <v>8.1185308741656694</v>
      </c>
      <c r="EH84" s="80">
        <v>3.3545294113613999</v>
      </c>
      <c r="EI84" s="80">
        <v>2.32768386729885</v>
      </c>
      <c r="EJ84" s="80">
        <v>145.49667821173199</v>
      </c>
      <c r="EK84" s="80">
        <v>0.19374251652635799</v>
      </c>
      <c r="EL84" s="80">
        <v>5.7307409930993397E-2</v>
      </c>
      <c r="EM84" s="80">
        <v>2.5986065447584701E-2</v>
      </c>
      <c r="EN84" s="80">
        <v>2.1592120603621E-2</v>
      </c>
      <c r="EO84" s="80">
        <v>0.19429670348085101</v>
      </c>
      <c r="EP84" s="80">
        <v>5.5798736946772898E-2</v>
      </c>
      <c r="EQ84" s="80">
        <v>2.30557113233869E-2</v>
      </c>
      <c r="ER84" s="80">
        <v>1.5998192507952199E-2</v>
      </c>
    </row>
    <row r="85" spans="2:148" ht="28" customHeight="1">
      <c r="I85" s="47"/>
      <c r="L85" s="1"/>
    </row>
  </sheetData>
  <autoFilter ref="A1:CD84" xr:uid="{00000000-0001-0000-0000-000000000000}"/>
  <sortState xmlns:xlrd2="http://schemas.microsoft.com/office/spreadsheetml/2017/richdata2" ref="A2:ER85">
    <sortCondition ref="C2:C85"/>
  </sortState>
  <phoneticPr fontId="1" type="noConversion"/>
  <conditionalFormatting sqref="A1:M1">
    <cfRule type="cellIs" priority="1" operator="equal">
      <formula>" "</formula>
    </cfRule>
  </conditionalFormatting>
  <conditionalFormatting sqref="AP1:BE1 BT1:BU1">
    <cfRule type="cellIs" priority="6" operator="equal">
      <formula>" 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5DA7-E1DD-4EAD-A2A7-93008A447AD1}">
  <dimension ref="A1:W84"/>
  <sheetViews>
    <sheetView topLeftCell="H1" workbookViewId="0">
      <selection activeCell="F2" sqref="F2:W84"/>
    </sheetView>
  </sheetViews>
  <sheetFormatPr defaultColWidth="12.5" defaultRowHeight="14"/>
  <sheetData>
    <row r="1" spans="1:23">
      <c r="A1" t="s">
        <v>814</v>
      </c>
      <c r="B1" t="s">
        <v>815</v>
      </c>
      <c r="C1" t="s">
        <v>816</v>
      </c>
      <c r="D1" t="s">
        <v>817</v>
      </c>
      <c r="E1" t="s">
        <v>818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633</v>
      </c>
      <c r="S1" t="s">
        <v>634</v>
      </c>
      <c r="T1" t="s">
        <v>635</v>
      </c>
      <c r="U1" t="s">
        <v>636</v>
      </c>
      <c r="V1" t="s">
        <v>637</v>
      </c>
      <c r="W1" t="s">
        <v>638</v>
      </c>
    </row>
    <row r="2" spans="1:23">
      <c r="A2">
        <v>67</v>
      </c>
      <c r="B2">
        <v>1</v>
      </c>
      <c r="C2">
        <v>1</v>
      </c>
      <c r="D2" t="s">
        <v>641</v>
      </c>
      <c r="E2">
        <v>3</v>
      </c>
      <c r="F2">
        <v>28.866476215497901</v>
      </c>
      <c r="G2">
        <v>9.9107992264789804</v>
      </c>
      <c r="H2">
        <v>4.6505417687788499</v>
      </c>
      <c r="I2">
        <v>2.5269838529493298</v>
      </c>
      <c r="J2">
        <v>119.920466758476</v>
      </c>
      <c r="K2">
        <v>78.603855622898607</v>
      </c>
      <c r="L2">
        <v>15.422158028015099</v>
      </c>
      <c r="M2">
        <v>7.0185091829505</v>
      </c>
      <c r="N2">
        <v>4.6573168033308701</v>
      </c>
      <c r="O2">
        <v>324.01597347871399</v>
      </c>
      <c r="P2">
        <v>0.240713507842127</v>
      </c>
      <c r="Q2">
        <v>8.2644768606844193E-2</v>
      </c>
      <c r="R2">
        <v>3.8780217376448399E-2</v>
      </c>
      <c r="S2">
        <v>2.1072164921095302E-2</v>
      </c>
      <c r="T2">
        <v>0.24259253264272301</v>
      </c>
      <c r="U2">
        <v>4.75969066044463E-2</v>
      </c>
      <c r="V2">
        <v>2.1660997473667998E-2</v>
      </c>
      <c r="W2">
        <v>1.4373725941128099E-2</v>
      </c>
    </row>
    <row r="3" spans="1:23">
      <c r="A3">
        <v>80</v>
      </c>
      <c r="B3">
        <v>2</v>
      </c>
      <c r="C3">
        <v>2</v>
      </c>
      <c r="D3" t="s">
        <v>643</v>
      </c>
      <c r="E3">
        <v>3</v>
      </c>
      <c r="F3">
        <v>56.934876396069598</v>
      </c>
      <c r="G3">
        <v>11.440455647886701</v>
      </c>
      <c r="H3">
        <v>4.6275742314130799</v>
      </c>
      <c r="I3">
        <v>2.5785062685244098</v>
      </c>
      <c r="J3">
        <v>255.95417564573</v>
      </c>
      <c r="K3">
        <v>35.1900817611496</v>
      </c>
      <c r="L3">
        <v>7.1833419812138999</v>
      </c>
      <c r="M3">
        <v>2.6771224313212798</v>
      </c>
      <c r="N3">
        <v>1.6513418365258401</v>
      </c>
      <c r="O3">
        <v>174.27717164027399</v>
      </c>
      <c r="P3">
        <v>0.22244167829039099</v>
      </c>
      <c r="Q3">
        <v>4.4697280749666703E-2</v>
      </c>
      <c r="R3">
        <v>1.8079698132442999E-2</v>
      </c>
      <c r="S3">
        <v>1.00740933880812E-2</v>
      </c>
      <c r="T3">
        <v>0.20192020234173599</v>
      </c>
      <c r="U3">
        <v>4.1217916917088003E-2</v>
      </c>
      <c r="V3">
        <v>1.53612914768156E-2</v>
      </c>
      <c r="W3">
        <v>9.4753766140661302E-3</v>
      </c>
    </row>
    <row r="4" spans="1:23">
      <c r="A4">
        <v>3</v>
      </c>
      <c r="B4">
        <v>31</v>
      </c>
      <c r="C4">
        <v>31</v>
      </c>
      <c r="D4" t="s">
        <v>819</v>
      </c>
      <c r="E4">
        <v>2</v>
      </c>
      <c r="F4">
        <v>41.879693991113399</v>
      </c>
      <c r="G4">
        <v>18.520285382059502</v>
      </c>
      <c r="H4">
        <v>7.5226907643671597</v>
      </c>
      <c r="I4">
        <v>4.0863283751787201</v>
      </c>
      <c r="J4">
        <v>199.82994376575499</v>
      </c>
      <c r="K4">
        <v>83.807809947281697</v>
      </c>
      <c r="L4">
        <v>23.5813244135228</v>
      </c>
      <c r="M4">
        <v>9.2067478216091096</v>
      </c>
      <c r="N4">
        <v>5.7446438833210998</v>
      </c>
      <c r="O4">
        <v>350.382419678264</v>
      </c>
      <c r="P4">
        <v>0.20957666905118999</v>
      </c>
      <c r="Q4">
        <v>9.2680231165802499E-2</v>
      </c>
      <c r="R4">
        <v>3.76454630502496E-2</v>
      </c>
      <c r="S4">
        <v>2.0449029300477699E-2</v>
      </c>
      <c r="T4">
        <v>0.23918954045764501</v>
      </c>
      <c r="U4">
        <v>6.7301676936805499E-2</v>
      </c>
      <c r="V4">
        <v>2.6276283581987699E-2</v>
      </c>
      <c r="W4">
        <v>1.6395354220671399E-2</v>
      </c>
    </row>
    <row r="5" spans="1:23">
      <c r="A5">
        <v>9</v>
      </c>
      <c r="B5">
        <v>43</v>
      </c>
      <c r="C5">
        <v>43</v>
      </c>
      <c r="D5" t="s">
        <v>213</v>
      </c>
      <c r="E5">
        <v>1</v>
      </c>
      <c r="F5">
        <v>36.336232580710401</v>
      </c>
      <c r="G5">
        <v>21.670398566483001</v>
      </c>
      <c r="H5">
        <v>7.1964729859528198</v>
      </c>
      <c r="I5">
        <v>3.3760940614335402</v>
      </c>
      <c r="J5">
        <v>178.10310092060101</v>
      </c>
      <c r="K5">
        <v>39.295543594911997</v>
      </c>
      <c r="L5">
        <v>18.138413546195601</v>
      </c>
      <c r="M5">
        <v>6.3293836731582598</v>
      </c>
      <c r="N5">
        <v>3.0743224731375598</v>
      </c>
      <c r="O5">
        <v>187.53054135286999</v>
      </c>
      <c r="P5">
        <v>0.20401796708137801</v>
      </c>
      <c r="Q5">
        <v>0.12167333670481</v>
      </c>
      <c r="R5">
        <v>4.0406219480485298E-2</v>
      </c>
      <c r="S5">
        <v>1.8955840993125798E-2</v>
      </c>
      <c r="T5">
        <v>0.20954210077691299</v>
      </c>
      <c r="U5">
        <v>9.6722450729053E-2</v>
      </c>
      <c r="V5">
        <v>3.3751215282040302E-2</v>
      </c>
      <c r="W5">
        <v>1.6393716196620601E-2</v>
      </c>
    </row>
    <row r="6" spans="1:23">
      <c r="A6">
        <v>81</v>
      </c>
      <c r="B6">
        <v>3</v>
      </c>
      <c r="C6">
        <v>3</v>
      </c>
      <c r="D6" t="s">
        <v>649</v>
      </c>
      <c r="E6">
        <v>3</v>
      </c>
      <c r="F6">
        <v>65.281158349731697</v>
      </c>
      <c r="G6">
        <v>18.627030923195399</v>
      </c>
      <c r="H6">
        <v>8.5182912129125405</v>
      </c>
      <c r="I6">
        <v>5.3258870251413502</v>
      </c>
      <c r="J6">
        <v>302.45117530258301</v>
      </c>
      <c r="K6">
        <v>41.286363086106803</v>
      </c>
      <c r="L6">
        <v>21.338675569247901</v>
      </c>
      <c r="M6">
        <v>9.0933619241843608</v>
      </c>
      <c r="N6">
        <v>5.1163811009975699</v>
      </c>
      <c r="O6">
        <v>200.52191611232101</v>
      </c>
      <c r="P6">
        <v>0.21584031962984501</v>
      </c>
      <c r="Q6">
        <v>6.15869020993563E-2</v>
      </c>
      <c r="R6">
        <v>2.81641861844E-2</v>
      </c>
      <c r="S6">
        <v>1.7609080274901E-2</v>
      </c>
      <c r="T6">
        <v>0.20589451710096601</v>
      </c>
      <c r="U6">
        <v>0.106415677562622</v>
      </c>
      <c r="V6">
        <v>4.5348469137362298E-2</v>
      </c>
      <c r="W6">
        <v>2.5515321218712299E-2</v>
      </c>
    </row>
    <row r="7" spans="1:23">
      <c r="A7">
        <v>28</v>
      </c>
      <c r="B7">
        <v>44</v>
      </c>
      <c r="C7">
        <v>44</v>
      </c>
      <c r="D7" t="s">
        <v>651</v>
      </c>
      <c r="E7">
        <v>1</v>
      </c>
      <c r="F7">
        <v>99.864539109422097</v>
      </c>
      <c r="G7">
        <v>56.598796807610597</v>
      </c>
      <c r="H7">
        <v>21.282515927334099</v>
      </c>
      <c r="I7">
        <v>9.1787157349394306</v>
      </c>
      <c r="J7">
        <v>412.935003655586</v>
      </c>
      <c r="K7">
        <v>121.80322437424201</v>
      </c>
      <c r="L7">
        <v>62.953663145567603</v>
      </c>
      <c r="M7">
        <v>21.863156854505199</v>
      </c>
      <c r="N7">
        <v>10.9039547801171</v>
      </c>
      <c r="O7">
        <v>555.83405171653203</v>
      </c>
      <c r="P7">
        <v>0.24184081810781899</v>
      </c>
      <c r="Q7">
        <v>0.13706466225086</v>
      </c>
      <c r="R7">
        <v>5.1539626669879199E-2</v>
      </c>
      <c r="S7">
        <v>2.22279914603584E-2</v>
      </c>
      <c r="T7">
        <v>0.219135952534912</v>
      </c>
      <c r="U7">
        <v>0.113259817298263</v>
      </c>
      <c r="V7">
        <v>3.9333964493515901E-2</v>
      </c>
      <c r="W7">
        <v>1.96172845950035E-2</v>
      </c>
    </row>
    <row r="8" spans="1:23">
      <c r="A8">
        <v>61</v>
      </c>
      <c r="B8">
        <v>4</v>
      </c>
      <c r="C8">
        <v>4</v>
      </c>
      <c r="D8" t="s">
        <v>204</v>
      </c>
      <c r="E8">
        <v>3</v>
      </c>
      <c r="F8">
        <v>64.335751849079998</v>
      </c>
      <c r="G8">
        <v>16.364051694836199</v>
      </c>
      <c r="H8">
        <v>7.62408471094421</v>
      </c>
      <c r="I8">
        <v>5.0201146174210596</v>
      </c>
      <c r="J8">
        <v>315.59766596345003</v>
      </c>
      <c r="K8">
        <v>44.083106996822401</v>
      </c>
      <c r="L8">
        <v>10.1526730499188</v>
      </c>
      <c r="M8">
        <v>3.7691298452153998</v>
      </c>
      <c r="N8">
        <v>2.1790056844497698</v>
      </c>
      <c r="O8">
        <v>199.25759792409099</v>
      </c>
      <c r="P8">
        <v>0.203853699781578</v>
      </c>
      <c r="Q8">
        <v>5.1850990864841601E-2</v>
      </c>
      <c r="R8">
        <v>2.4157608034487701E-2</v>
      </c>
      <c r="S8">
        <v>1.5906691204752001E-2</v>
      </c>
      <c r="T8">
        <v>0.221236768163873</v>
      </c>
      <c r="U8">
        <v>5.09525014638917E-2</v>
      </c>
      <c r="V8">
        <v>1.8915865113717199E-2</v>
      </c>
      <c r="W8">
        <v>1.0935621562997501E-2</v>
      </c>
    </row>
    <row r="9" spans="1:23">
      <c r="A9">
        <v>60</v>
      </c>
      <c r="B9">
        <v>5</v>
      </c>
      <c r="C9">
        <v>5</v>
      </c>
      <c r="D9" t="s">
        <v>203</v>
      </c>
      <c r="E9">
        <v>3</v>
      </c>
      <c r="F9">
        <v>24.801461990001201</v>
      </c>
      <c r="G9">
        <v>6.8654219714703597</v>
      </c>
      <c r="H9">
        <v>3.0358352112660598</v>
      </c>
      <c r="I9">
        <v>1.62211004734737</v>
      </c>
      <c r="J9">
        <v>124.73614691083</v>
      </c>
      <c r="K9">
        <v>50.5318506359718</v>
      </c>
      <c r="L9">
        <v>8.0447176630159394</v>
      </c>
      <c r="M9">
        <v>2.4676010770608001</v>
      </c>
      <c r="N9">
        <v>1.45393513510838</v>
      </c>
      <c r="O9">
        <v>244.080924577052</v>
      </c>
      <c r="P9">
        <v>0.19883139414055301</v>
      </c>
      <c r="Q9">
        <v>5.5039554623875102E-2</v>
      </c>
      <c r="R9">
        <v>2.4338055058220402E-2</v>
      </c>
      <c r="S9">
        <v>1.30043302404311E-2</v>
      </c>
      <c r="T9">
        <v>0.207029085634342</v>
      </c>
      <c r="U9">
        <v>3.2959223163202801E-2</v>
      </c>
      <c r="V9">
        <v>1.01097661824115E-2</v>
      </c>
      <c r="W9">
        <v>5.9567749410478696E-3</v>
      </c>
    </row>
    <row r="10" spans="1:23">
      <c r="A10">
        <v>78</v>
      </c>
      <c r="B10">
        <v>32</v>
      </c>
      <c r="C10">
        <v>32</v>
      </c>
      <c r="D10" t="s">
        <v>655</v>
      </c>
      <c r="E10">
        <v>2</v>
      </c>
      <c r="F10">
        <v>32.856471287857403</v>
      </c>
      <c r="G10">
        <v>5.9534219007887197</v>
      </c>
      <c r="H10">
        <v>2.0870365541551799</v>
      </c>
      <c r="I10">
        <v>1.46680447598127</v>
      </c>
      <c r="J10">
        <v>214.755810641398</v>
      </c>
      <c r="K10">
        <v>36.353431669199203</v>
      </c>
      <c r="L10">
        <v>9.50990544143386</v>
      </c>
      <c r="M10">
        <v>3.7957923927330302</v>
      </c>
      <c r="N10">
        <v>2.0770883502222501</v>
      </c>
      <c r="O10">
        <v>218.57390439708399</v>
      </c>
      <c r="P10">
        <v>0.15299456247412899</v>
      </c>
      <c r="Q10">
        <v>2.7721819880020999E-2</v>
      </c>
      <c r="R10">
        <v>9.7181843318789006E-3</v>
      </c>
      <c r="S10">
        <v>6.8301037890451501E-3</v>
      </c>
      <c r="T10">
        <v>0.166321006020718</v>
      </c>
      <c r="U10">
        <v>4.3508878462257698E-2</v>
      </c>
      <c r="V10">
        <v>1.7366173712289101E-2</v>
      </c>
      <c r="W10">
        <v>9.5029109533990696E-3</v>
      </c>
    </row>
    <row r="11" spans="1:23">
      <c r="A11">
        <v>32</v>
      </c>
      <c r="B11">
        <v>6</v>
      </c>
      <c r="C11">
        <v>6</v>
      </c>
      <c r="D11" t="s">
        <v>657</v>
      </c>
      <c r="E11">
        <v>3</v>
      </c>
      <c r="F11">
        <v>31.170131764131099</v>
      </c>
      <c r="G11">
        <v>6.3434930615518796</v>
      </c>
      <c r="H11">
        <v>3.6897259428432001</v>
      </c>
      <c r="I11">
        <v>2.3108404418291202</v>
      </c>
      <c r="J11">
        <v>187.560620558675</v>
      </c>
      <c r="K11">
        <v>44.147772872260298</v>
      </c>
      <c r="L11">
        <v>10.5064275882881</v>
      </c>
      <c r="M11">
        <v>4.7065896501385502</v>
      </c>
      <c r="N11">
        <v>2.4772300009063599</v>
      </c>
      <c r="O11">
        <v>210.149826956651</v>
      </c>
      <c r="P11">
        <v>0.16618697289061299</v>
      </c>
      <c r="Q11">
        <v>3.38210283302375E-2</v>
      </c>
      <c r="R11">
        <v>1.96721781568692E-2</v>
      </c>
      <c r="S11">
        <v>1.2320499020241901E-2</v>
      </c>
      <c r="T11">
        <v>0.21007760754124599</v>
      </c>
      <c r="U11">
        <v>4.9994938089838598E-2</v>
      </c>
      <c r="V11">
        <v>2.2396352727472899E-2</v>
      </c>
      <c r="W11">
        <v>1.1787923106010199E-2</v>
      </c>
    </row>
    <row r="12" spans="1:23">
      <c r="A12">
        <v>34</v>
      </c>
      <c r="B12">
        <v>7</v>
      </c>
      <c r="C12">
        <v>7</v>
      </c>
      <c r="D12" t="s">
        <v>659</v>
      </c>
      <c r="E12">
        <v>3</v>
      </c>
      <c r="F12">
        <v>51.2339932032802</v>
      </c>
      <c r="G12">
        <v>11.889663813660199</v>
      </c>
      <c r="H12">
        <v>4.5986660252919496</v>
      </c>
      <c r="I12">
        <v>3.1105125187353702</v>
      </c>
      <c r="J12">
        <v>226.511034174586</v>
      </c>
      <c r="K12">
        <v>22.700001949678001</v>
      </c>
      <c r="L12">
        <v>9.6675703549798602</v>
      </c>
      <c r="M12">
        <v>4.2909807910846904</v>
      </c>
      <c r="N12">
        <v>2.11690798057908</v>
      </c>
      <c r="O12">
        <v>110.783880203816</v>
      </c>
      <c r="P12">
        <v>0.22618762653209701</v>
      </c>
      <c r="Q12">
        <v>5.2490439845398799E-2</v>
      </c>
      <c r="R12">
        <v>2.03021722188928E-2</v>
      </c>
      <c r="S12">
        <v>1.3732278120888E-2</v>
      </c>
      <c r="T12">
        <v>0.204903474295316</v>
      </c>
      <c r="U12">
        <v>8.7265135841006994E-2</v>
      </c>
      <c r="V12">
        <v>3.8732898533525802E-2</v>
      </c>
      <c r="W12">
        <v>1.91084476973046E-2</v>
      </c>
    </row>
    <row r="13" spans="1:23">
      <c r="A13">
        <v>27</v>
      </c>
      <c r="B13">
        <v>8</v>
      </c>
      <c r="C13">
        <v>8</v>
      </c>
      <c r="D13" s="86" t="s">
        <v>665</v>
      </c>
      <c r="E13">
        <v>3</v>
      </c>
      <c r="F13">
        <v>51.855058858471402</v>
      </c>
      <c r="G13">
        <v>11.150883151217799</v>
      </c>
      <c r="H13">
        <v>5.3430586543235501</v>
      </c>
      <c r="I13">
        <v>2.9791464959193301</v>
      </c>
      <c r="J13">
        <v>235.67973763657201</v>
      </c>
      <c r="K13">
        <v>36.583232317512902</v>
      </c>
      <c r="L13">
        <v>9.2048639341567196</v>
      </c>
      <c r="M13">
        <v>4.7699411209191602</v>
      </c>
      <c r="N13">
        <v>2.9238426144791099</v>
      </c>
      <c r="O13">
        <v>174.87696862670299</v>
      </c>
      <c r="P13">
        <v>0.22002340709677001</v>
      </c>
      <c r="Q13">
        <v>4.7313711662446398E-2</v>
      </c>
      <c r="R13">
        <v>2.2670844375101799E-2</v>
      </c>
      <c r="S13">
        <v>1.26406560266683E-2</v>
      </c>
      <c r="T13">
        <v>0.20919411289433101</v>
      </c>
      <c r="U13">
        <v>5.2636227665895097E-2</v>
      </c>
      <c r="V13">
        <v>2.7275982414249202E-2</v>
      </c>
      <c r="W13">
        <v>1.6719426448433099E-2</v>
      </c>
    </row>
    <row r="14" spans="1:23">
      <c r="A14">
        <v>23</v>
      </c>
      <c r="B14">
        <v>33</v>
      </c>
      <c r="C14">
        <v>33</v>
      </c>
      <c r="D14" t="s">
        <v>661</v>
      </c>
      <c r="E14">
        <v>2</v>
      </c>
      <c r="F14">
        <v>59.319663849957301</v>
      </c>
      <c r="G14">
        <v>21.915185975264599</v>
      </c>
      <c r="H14">
        <v>6.6410644530499203</v>
      </c>
      <c r="I14">
        <v>2.2200934994279899</v>
      </c>
      <c r="J14">
        <v>251.282489013847</v>
      </c>
      <c r="K14">
        <v>88.929062332315993</v>
      </c>
      <c r="L14">
        <v>25.350990278581001</v>
      </c>
      <c r="M14">
        <v>7.0094718206800799</v>
      </c>
      <c r="N14">
        <v>3.0835616493857598</v>
      </c>
      <c r="O14">
        <v>333.286709157497</v>
      </c>
      <c r="P14">
        <v>0.23606763878675399</v>
      </c>
      <c r="Q14">
        <v>8.7213343282575503E-2</v>
      </c>
      <c r="R14">
        <v>2.6428679845987901E-2</v>
      </c>
      <c r="S14">
        <v>8.8350505765073806E-3</v>
      </c>
      <c r="T14">
        <v>0.266824508415341</v>
      </c>
      <c r="U14">
        <v>7.6063610045131402E-2</v>
      </c>
      <c r="V14">
        <v>2.1031357171124698E-2</v>
      </c>
      <c r="W14">
        <v>9.25197904585086E-3</v>
      </c>
    </row>
    <row r="15" spans="1:23">
      <c r="A15">
        <v>8</v>
      </c>
      <c r="B15">
        <v>45</v>
      </c>
      <c r="C15">
        <v>45</v>
      </c>
      <c r="D15" t="s">
        <v>663</v>
      </c>
      <c r="E15">
        <v>1</v>
      </c>
      <c r="F15">
        <v>30.780309898362599</v>
      </c>
      <c r="G15">
        <v>6.6615575464429897</v>
      </c>
      <c r="H15">
        <v>2.9695377503913898</v>
      </c>
      <c r="I15">
        <v>1.8692898068635</v>
      </c>
      <c r="J15">
        <v>166.48578195444199</v>
      </c>
      <c r="K15">
        <v>51.476148239109797</v>
      </c>
      <c r="L15">
        <v>6.63541920037619</v>
      </c>
      <c r="M15">
        <v>2.5622705851233198</v>
      </c>
      <c r="N15">
        <v>1.89963342650565</v>
      </c>
      <c r="O15">
        <v>334.92550893543398</v>
      </c>
      <c r="P15">
        <v>0.18488251391212199</v>
      </c>
      <c r="Q15">
        <v>4.0012771470574603E-2</v>
      </c>
      <c r="R15">
        <v>1.78365846952864E-2</v>
      </c>
      <c r="S15">
        <v>1.12279246006426E-2</v>
      </c>
      <c r="T15">
        <v>0.153694319679404</v>
      </c>
      <c r="U15">
        <v>1.9811626834477201E-2</v>
      </c>
      <c r="V15">
        <v>7.6502700354700902E-3</v>
      </c>
      <c r="W15">
        <v>5.6718087330632702E-3</v>
      </c>
    </row>
    <row r="16" spans="1:23">
      <c r="A16">
        <v>56</v>
      </c>
      <c r="B16">
        <v>46</v>
      </c>
      <c r="C16">
        <v>46</v>
      </c>
      <c r="D16" t="s">
        <v>667</v>
      </c>
      <c r="E16">
        <v>1</v>
      </c>
      <c r="F16">
        <v>34.776979184334003</v>
      </c>
      <c r="G16">
        <v>11.3570220716257</v>
      </c>
      <c r="H16">
        <v>4.2073385078708601</v>
      </c>
      <c r="I16">
        <v>2.3931995629181699</v>
      </c>
      <c r="J16">
        <v>173.664906458085</v>
      </c>
      <c r="K16">
        <v>44.915381571021499</v>
      </c>
      <c r="L16">
        <v>12.149475689576599</v>
      </c>
      <c r="M16">
        <v>3.9319788373104698</v>
      </c>
      <c r="N16">
        <v>2.5440540645658598</v>
      </c>
      <c r="O16">
        <v>198.43667118776901</v>
      </c>
      <c r="P16">
        <v>0.20025334935891401</v>
      </c>
      <c r="Q16">
        <v>6.5396183392796195E-2</v>
      </c>
      <c r="R16">
        <v>2.4226762871555299E-2</v>
      </c>
      <c r="S16">
        <v>1.37805594217493E-2</v>
      </c>
      <c r="T16">
        <v>0.22634617534236201</v>
      </c>
      <c r="U16">
        <v>6.1225959984383203E-2</v>
      </c>
      <c r="V16">
        <v>1.9814779263203099E-2</v>
      </c>
      <c r="W16">
        <v>1.2820483478875599E-2</v>
      </c>
    </row>
    <row r="17" spans="1:23">
      <c r="A17">
        <v>47</v>
      </c>
      <c r="B17">
        <v>34</v>
      </c>
      <c r="C17">
        <v>34</v>
      </c>
      <c r="D17" t="s">
        <v>672</v>
      </c>
      <c r="E17">
        <v>2</v>
      </c>
      <c r="F17">
        <v>45.358804397619402</v>
      </c>
      <c r="G17">
        <v>20.025337575106899</v>
      </c>
      <c r="H17">
        <v>7.2515556000821597</v>
      </c>
      <c r="I17">
        <v>2.7029625650510298</v>
      </c>
      <c r="J17">
        <v>194.92401120277501</v>
      </c>
      <c r="K17">
        <v>65.740455625558795</v>
      </c>
      <c r="L17">
        <v>23.343687234892201</v>
      </c>
      <c r="M17">
        <v>8.3654536137496596</v>
      </c>
      <c r="N17">
        <v>4.5167788444376997</v>
      </c>
      <c r="O17">
        <v>307.750306350247</v>
      </c>
      <c r="P17">
        <v>0.23269993325980601</v>
      </c>
      <c r="Q17">
        <v>0.102734072890974</v>
      </c>
      <c r="R17">
        <v>3.72019617046489E-2</v>
      </c>
      <c r="S17">
        <v>1.3866750167783101E-2</v>
      </c>
      <c r="T17">
        <v>0.21361621505825701</v>
      </c>
      <c r="U17">
        <v>7.5852685613008106E-2</v>
      </c>
      <c r="V17">
        <v>2.71826004430652E-2</v>
      </c>
      <c r="W17">
        <v>1.4676764738284999E-2</v>
      </c>
    </row>
    <row r="18" spans="1:23">
      <c r="A18">
        <v>69</v>
      </c>
      <c r="B18">
        <v>47</v>
      </c>
      <c r="C18">
        <v>47</v>
      </c>
      <c r="D18" t="s">
        <v>211</v>
      </c>
      <c r="E18">
        <v>1</v>
      </c>
      <c r="F18">
        <v>50.736822103250603</v>
      </c>
      <c r="G18">
        <v>13.7917692307369</v>
      </c>
      <c r="H18">
        <v>4.8593579045755098</v>
      </c>
      <c r="I18">
        <v>2.2206758841340699</v>
      </c>
      <c r="J18">
        <v>285.01119236108099</v>
      </c>
      <c r="K18">
        <v>71.146224833711301</v>
      </c>
      <c r="L18">
        <v>28.408040121181902</v>
      </c>
      <c r="M18">
        <v>10.2386647290397</v>
      </c>
      <c r="N18">
        <v>4.6696516159176698</v>
      </c>
      <c r="O18">
        <v>292.577593408018</v>
      </c>
      <c r="P18">
        <v>0.17801694622214001</v>
      </c>
      <c r="Q18">
        <v>4.8390272383633602E-2</v>
      </c>
      <c r="R18">
        <v>1.7049709045879099E-2</v>
      </c>
      <c r="S18">
        <v>7.7915392225042599E-3</v>
      </c>
      <c r="T18">
        <v>0.24317044926435399</v>
      </c>
      <c r="U18">
        <v>9.7095747457205603E-2</v>
      </c>
      <c r="V18">
        <v>3.4994698704631302E-2</v>
      </c>
      <c r="W18">
        <v>1.5960386991787E-2</v>
      </c>
    </row>
    <row r="19" spans="1:23">
      <c r="B19">
        <v>72</v>
      </c>
      <c r="C19">
        <v>72</v>
      </c>
      <c r="D19" t="s">
        <v>669</v>
      </c>
      <c r="E19">
        <v>3</v>
      </c>
      <c r="F19">
        <v>84.727113027458003</v>
      </c>
      <c r="G19">
        <v>24.517378164617899</v>
      </c>
      <c r="H19">
        <v>5.2258165108820203</v>
      </c>
      <c r="I19">
        <v>2.2574301465128501</v>
      </c>
      <c r="J19">
        <v>299.422017811221</v>
      </c>
      <c r="K19">
        <v>84.242616939346306</v>
      </c>
      <c r="L19">
        <v>29.110361489233401</v>
      </c>
      <c r="M19">
        <v>7.0027156762871998</v>
      </c>
      <c r="N19">
        <v>2.5090671181148099</v>
      </c>
      <c r="O19">
        <v>297.967969505398</v>
      </c>
      <c r="P19">
        <v>0.282968880000256</v>
      </c>
      <c r="Q19">
        <v>8.18823490130762E-2</v>
      </c>
      <c r="R19">
        <v>1.7453013472699199E-2</v>
      </c>
      <c r="S19">
        <v>7.53929241080766E-3</v>
      </c>
      <c r="T19">
        <v>0.28272373396100903</v>
      </c>
      <c r="U19">
        <v>9.7696277682309804E-2</v>
      </c>
      <c r="V19">
        <v>2.3501571957251399E-2</v>
      </c>
      <c r="W19">
        <v>8.4205934023031202E-3</v>
      </c>
    </row>
    <row r="20" spans="1:23">
      <c r="A20">
        <v>38</v>
      </c>
      <c r="B20">
        <v>48</v>
      </c>
      <c r="C20">
        <v>48</v>
      </c>
      <c r="D20" t="s">
        <v>674</v>
      </c>
      <c r="E20">
        <v>1</v>
      </c>
      <c r="F20">
        <v>35.489539981347399</v>
      </c>
      <c r="G20">
        <v>18.0438919119341</v>
      </c>
      <c r="H20">
        <v>6.3870872396415699</v>
      </c>
      <c r="I20">
        <v>2.3554010241580201</v>
      </c>
      <c r="J20">
        <v>156.92152633042201</v>
      </c>
      <c r="K20">
        <v>58.429777506618898</v>
      </c>
      <c r="L20">
        <v>24.1251487248581</v>
      </c>
      <c r="M20">
        <v>7.9179307256194802</v>
      </c>
      <c r="N20">
        <v>3.29759455260734</v>
      </c>
      <c r="O20">
        <v>237.50985374618</v>
      </c>
      <c r="P20">
        <v>0.22616106796347901</v>
      </c>
      <c r="Q20">
        <v>0.114986721923288</v>
      </c>
      <c r="R20">
        <v>4.0702428717093897E-2</v>
      </c>
      <c r="S20">
        <v>1.50100568050706E-2</v>
      </c>
      <c r="T20">
        <v>0.246009908999654</v>
      </c>
      <c r="U20">
        <v>0.101575359271788</v>
      </c>
      <c r="V20">
        <v>3.3337272541463202E-2</v>
      </c>
      <c r="W20">
        <v>1.3884032601575299E-2</v>
      </c>
    </row>
    <row r="21" spans="1:23">
      <c r="A21">
        <v>70</v>
      </c>
      <c r="B21">
        <v>49</v>
      </c>
      <c r="C21">
        <v>49</v>
      </c>
      <c r="D21" t="s">
        <v>212</v>
      </c>
      <c r="E21">
        <v>1</v>
      </c>
      <c r="F21">
        <v>80.894247846755903</v>
      </c>
      <c r="G21">
        <v>17.8794737228468</v>
      </c>
      <c r="H21">
        <v>4.3199548804709398</v>
      </c>
      <c r="I21">
        <v>1.5222807864338701</v>
      </c>
      <c r="J21">
        <v>325.11680244147198</v>
      </c>
      <c r="K21">
        <v>25.236493597106801</v>
      </c>
      <c r="L21">
        <v>10.8738159760318</v>
      </c>
      <c r="M21">
        <v>3.9628119001228801</v>
      </c>
      <c r="N21">
        <v>1.87004522810744</v>
      </c>
      <c r="O21">
        <v>139.89946979742999</v>
      </c>
      <c r="P21">
        <v>0.24881595549439101</v>
      </c>
      <c r="Q21">
        <v>5.4994000890081503E-2</v>
      </c>
      <c r="R21">
        <v>1.3287393478375001E-2</v>
      </c>
      <c r="S21">
        <v>4.6822581146291698E-3</v>
      </c>
      <c r="T21">
        <v>0.180390201861725</v>
      </c>
      <c r="U21">
        <v>7.7725926994410804E-2</v>
      </c>
      <c r="V21">
        <v>2.8326139519048301E-2</v>
      </c>
      <c r="W21">
        <v>1.3367064441453601E-2</v>
      </c>
    </row>
    <row r="22" spans="1:23">
      <c r="B22">
        <v>73</v>
      </c>
      <c r="C22">
        <v>73</v>
      </c>
      <c r="D22" t="s">
        <v>677</v>
      </c>
      <c r="E22">
        <v>1</v>
      </c>
      <c r="F22">
        <v>47.293193694614999</v>
      </c>
      <c r="G22">
        <v>13.4280187355438</v>
      </c>
      <c r="H22">
        <v>5.2678291131109196</v>
      </c>
      <c r="I22">
        <v>2.8263256755256898</v>
      </c>
      <c r="J22">
        <v>224.238750787257</v>
      </c>
      <c r="K22">
        <v>47.220777996547099</v>
      </c>
      <c r="L22">
        <v>11.7960917476776</v>
      </c>
      <c r="M22">
        <v>4.7115644615211698</v>
      </c>
      <c r="N22">
        <v>2.8201752413529602</v>
      </c>
      <c r="O22">
        <v>231.541944184355</v>
      </c>
      <c r="P22">
        <v>0.210905534964756</v>
      </c>
      <c r="Q22">
        <v>5.9882686147691801E-2</v>
      </c>
      <c r="R22">
        <v>2.3492055207302999E-2</v>
      </c>
      <c r="S22">
        <v>1.2604091244724801E-2</v>
      </c>
      <c r="T22">
        <v>0.203940491917739</v>
      </c>
      <c r="U22">
        <v>5.0945809361804102E-2</v>
      </c>
      <c r="V22">
        <v>2.03486434309708E-2</v>
      </c>
      <c r="W22">
        <v>1.2179975646691101E-2</v>
      </c>
    </row>
    <row r="23" spans="1:23">
      <c r="A23">
        <v>36</v>
      </c>
      <c r="B23">
        <v>50</v>
      </c>
      <c r="C23">
        <v>50</v>
      </c>
      <c r="D23" t="s">
        <v>679</v>
      </c>
      <c r="E23">
        <v>1</v>
      </c>
      <c r="F23">
        <v>60.537121623516498</v>
      </c>
      <c r="G23">
        <v>10.3327015377705</v>
      </c>
      <c r="H23">
        <v>4.07643749732995</v>
      </c>
      <c r="I23">
        <v>1.9475187726949501</v>
      </c>
      <c r="J23">
        <v>355.98058450978499</v>
      </c>
      <c r="K23">
        <v>72.428996286471502</v>
      </c>
      <c r="L23">
        <v>10.525220281729499</v>
      </c>
      <c r="M23">
        <v>3.83169048793971</v>
      </c>
      <c r="N23">
        <v>1.8296384674852799</v>
      </c>
      <c r="O23">
        <v>290.83646617316401</v>
      </c>
      <c r="P23">
        <v>0.17005736901882201</v>
      </c>
      <c r="Q23">
        <v>2.9026025540127402E-2</v>
      </c>
      <c r="R23">
        <v>1.14512916566603E-2</v>
      </c>
      <c r="S23">
        <v>5.47085671926981E-3</v>
      </c>
      <c r="T23">
        <v>0.24903684616820801</v>
      </c>
      <c r="U23">
        <v>3.6189479332563501E-2</v>
      </c>
      <c r="V23">
        <v>1.31747250898666E-2</v>
      </c>
      <c r="W23">
        <v>6.2909527527951299E-3</v>
      </c>
    </row>
    <row r="24" spans="1:23">
      <c r="A24">
        <v>15</v>
      </c>
      <c r="B24">
        <v>9</v>
      </c>
      <c r="C24">
        <v>9</v>
      </c>
      <c r="D24" t="s">
        <v>681</v>
      </c>
      <c r="E24">
        <v>3</v>
      </c>
      <c r="F24">
        <v>26.013582320242602</v>
      </c>
      <c r="G24">
        <v>9.41688735409247</v>
      </c>
      <c r="H24">
        <v>4.5928433454142201</v>
      </c>
      <c r="I24">
        <v>2.5622318770283798</v>
      </c>
      <c r="J24">
        <v>153.20537284569599</v>
      </c>
      <c r="K24">
        <v>49.260788870661898</v>
      </c>
      <c r="L24">
        <v>13.151388446213501</v>
      </c>
      <c r="M24">
        <v>5.3837630223015598</v>
      </c>
      <c r="N24">
        <v>2.6325754554156502</v>
      </c>
      <c r="O24">
        <v>256.02564058384002</v>
      </c>
      <c r="P24">
        <v>0.16979549631358401</v>
      </c>
      <c r="Q24">
        <v>6.1465777467066399E-2</v>
      </c>
      <c r="R24">
        <v>2.9978343840721601E-2</v>
      </c>
      <c r="S24">
        <v>1.6724164625799301E-2</v>
      </c>
      <c r="T24">
        <v>0.192405685455284</v>
      </c>
      <c r="U24">
        <v>5.1367466228082297E-2</v>
      </c>
      <c r="V24">
        <v>2.1028218150433899E-2</v>
      </c>
      <c r="W24">
        <v>1.02824679958317E-2</v>
      </c>
    </row>
    <row r="25" spans="1:23">
      <c r="A25">
        <v>25</v>
      </c>
      <c r="B25">
        <v>10</v>
      </c>
      <c r="C25">
        <v>10</v>
      </c>
      <c r="D25" t="s">
        <v>683</v>
      </c>
      <c r="E25">
        <v>3</v>
      </c>
      <c r="F25">
        <v>41.340896836996599</v>
      </c>
      <c r="G25">
        <v>13.926624097263</v>
      </c>
      <c r="H25">
        <v>6.3746866099046899</v>
      </c>
      <c r="I25">
        <v>3.7975997181533101</v>
      </c>
      <c r="J25">
        <v>213.471434701047</v>
      </c>
      <c r="K25">
        <v>56.0584323219596</v>
      </c>
      <c r="L25">
        <v>21.206453858939501</v>
      </c>
      <c r="M25">
        <v>10.077414752840101</v>
      </c>
      <c r="N25">
        <v>5.5312416680489997</v>
      </c>
      <c r="O25">
        <v>279.749201525638</v>
      </c>
      <c r="P25">
        <v>0.19366008803422299</v>
      </c>
      <c r="Q25">
        <v>6.52388180965119E-2</v>
      </c>
      <c r="R25">
        <v>2.9862012305449801E-2</v>
      </c>
      <c r="S25">
        <v>1.7789732492647599E-2</v>
      </c>
      <c r="T25">
        <v>0.20038817632450701</v>
      </c>
      <c r="U25">
        <v>7.58052346290468E-2</v>
      </c>
      <c r="V25">
        <v>3.60230331235337E-2</v>
      </c>
      <c r="W25">
        <v>1.9772144613403202E-2</v>
      </c>
    </row>
    <row r="26" spans="1:23">
      <c r="A26">
        <v>57</v>
      </c>
      <c r="B26">
        <v>11</v>
      </c>
      <c r="C26">
        <v>11</v>
      </c>
      <c r="D26" t="s">
        <v>685</v>
      </c>
      <c r="E26">
        <v>3</v>
      </c>
      <c r="F26">
        <v>43.954867838703599</v>
      </c>
      <c r="G26">
        <v>19.744594018259399</v>
      </c>
      <c r="H26">
        <v>6.6116061819072804</v>
      </c>
      <c r="I26">
        <v>3.0968817885643301</v>
      </c>
      <c r="J26">
        <v>179.45043105609099</v>
      </c>
      <c r="K26">
        <v>49.564968097848698</v>
      </c>
      <c r="L26">
        <v>13.037397664403001</v>
      </c>
      <c r="M26">
        <v>7.0635334566942696</v>
      </c>
      <c r="N26">
        <v>4.4327127240282502</v>
      </c>
      <c r="O26">
        <v>313.03434748608299</v>
      </c>
      <c r="P26">
        <v>0.244941556172493</v>
      </c>
      <c r="Q26">
        <v>0.110028122540914</v>
      </c>
      <c r="R26">
        <v>3.6843634997124501E-2</v>
      </c>
      <c r="S26">
        <v>1.72575890196459E-2</v>
      </c>
      <c r="T26">
        <v>0.15833715531824299</v>
      </c>
      <c r="U26">
        <v>4.1648457330972603E-2</v>
      </c>
      <c r="V26">
        <v>2.25647233711576E-2</v>
      </c>
      <c r="W26">
        <v>1.41604675641076E-2</v>
      </c>
    </row>
    <row r="27" spans="1:23">
      <c r="A27">
        <v>16</v>
      </c>
      <c r="B27">
        <v>35</v>
      </c>
      <c r="C27">
        <v>35</v>
      </c>
      <c r="D27" t="s">
        <v>688</v>
      </c>
      <c r="E27">
        <v>2</v>
      </c>
      <c r="F27">
        <v>36.055985905273602</v>
      </c>
      <c r="G27">
        <v>11.7049287353453</v>
      </c>
      <c r="H27">
        <v>4.5757370405090203</v>
      </c>
      <c r="I27">
        <v>2.2495531557192501</v>
      </c>
      <c r="J27">
        <v>174.54422912263701</v>
      </c>
      <c r="K27">
        <v>62.753823145839</v>
      </c>
      <c r="L27">
        <v>13.508773403958999</v>
      </c>
      <c r="M27">
        <v>5.1866185801474902</v>
      </c>
      <c r="N27">
        <v>2.7248585212925902</v>
      </c>
      <c r="O27">
        <v>352.53042568215801</v>
      </c>
      <c r="P27">
        <v>0.20657220285375399</v>
      </c>
      <c r="Q27">
        <v>6.7059958350850393E-2</v>
      </c>
      <c r="R27">
        <v>2.6215344176713201E-2</v>
      </c>
      <c r="S27">
        <v>1.2888155437890099E-2</v>
      </c>
      <c r="T27">
        <v>0.17800966547613101</v>
      </c>
      <c r="U27">
        <v>3.8319453924633998E-2</v>
      </c>
      <c r="V27">
        <v>1.4712541676682799E-2</v>
      </c>
      <c r="W27">
        <v>7.7294279380847796E-3</v>
      </c>
    </row>
    <row r="28" spans="1:23">
      <c r="A28">
        <v>7</v>
      </c>
      <c r="B28">
        <v>51</v>
      </c>
      <c r="C28">
        <v>51</v>
      </c>
      <c r="D28" t="s">
        <v>690</v>
      </c>
      <c r="E28">
        <v>1</v>
      </c>
      <c r="F28">
        <v>31.2523737046474</v>
      </c>
      <c r="G28">
        <v>9.2418605952735096</v>
      </c>
      <c r="H28">
        <v>3.2367449690110299</v>
      </c>
      <c r="I28">
        <v>1.47556970509781</v>
      </c>
      <c r="J28">
        <v>149.696657642395</v>
      </c>
      <c r="K28">
        <v>44.220825577731802</v>
      </c>
      <c r="L28">
        <v>13.0190738047531</v>
      </c>
      <c r="M28">
        <v>4.2911195935277302</v>
      </c>
      <c r="N28">
        <v>2.2869362562096698</v>
      </c>
      <c r="O28">
        <v>183.15196879722399</v>
      </c>
      <c r="P28">
        <v>0.20877135265975799</v>
      </c>
      <c r="Q28">
        <v>6.1737254129955697E-2</v>
      </c>
      <c r="R28">
        <v>2.1622025634955602E-2</v>
      </c>
      <c r="S28">
        <v>9.8570651365025592E-3</v>
      </c>
      <c r="T28">
        <v>0.24144335367036501</v>
      </c>
      <c r="U28">
        <v>7.1083449936413801E-2</v>
      </c>
      <c r="V28">
        <v>2.3429284553739198E-2</v>
      </c>
      <c r="W28">
        <v>1.2486550219624699E-2</v>
      </c>
    </row>
    <row r="29" spans="1:23">
      <c r="A29">
        <v>13</v>
      </c>
      <c r="B29">
        <v>39</v>
      </c>
      <c r="C29">
        <v>39</v>
      </c>
      <c r="D29" t="s">
        <v>81</v>
      </c>
      <c r="E29">
        <v>2</v>
      </c>
      <c r="F29">
        <v>44.144692401028102</v>
      </c>
      <c r="G29">
        <v>14.1198617232067</v>
      </c>
      <c r="H29">
        <v>4.5315643349516002</v>
      </c>
      <c r="I29">
        <v>2.2824001532318801</v>
      </c>
      <c r="J29">
        <v>175.35400325016101</v>
      </c>
      <c r="K29">
        <v>47.821344604720601</v>
      </c>
      <c r="L29">
        <v>10.869081572998599</v>
      </c>
      <c r="M29">
        <v>3.6678103393722101</v>
      </c>
      <c r="N29">
        <v>1.94394014526667</v>
      </c>
      <c r="O29">
        <v>217.217168502064</v>
      </c>
      <c r="P29">
        <v>0.25174613400785001</v>
      </c>
      <c r="Q29">
        <v>8.0522038057284903E-2</v>
      </c>
      <c r="R29">
        <v>2.5842377424864602E-2</v>
      </c>
      <c r="S29">
        <v>1.30159569267192E-2</v>
      </c>
      <c r="T29">
        <v>0.22015453444356201</v>
      </c>
      <c r="U29">
        <v>5.0037856804561701E-2</v>
      </c>
      <c r="V29">
        <v>1.6885453229436399E-2</v>
      </c>
      <c r="W29">
        <v>8.94929327489229E-3</v>
      </c>
    </row>
    <row r="30" spans="1:23">
      <c r="A30">
        <v>68</v>
      </c>
      <c r="B30">
        <v>54</v>
      </c>
      <c r="C30">
        <v>54</v>
      </c>
      <c r="D30" t="s">
        <v>210</v>
      </c>
      <c r="E30">
        <v>1</v>
      </c>
      <c r="F30">
        <v>42.864035414577501</v>
      </c>
      <c r="G30">
        <v>10.9757259093427</v>
      </c>
      <c r="H30">
        <v>3.8169443502365699</v>
      </c>
      <c r="I30">
        <v>1.5337540320933101</v>
      </c>
      <c r="J30">
        <v>185.191105259838</v>
      </c>
      <c r="K30">
        <v>37.0948950828503</v>
      </c>
      <c r="L30">
        <v>13.0752950238121</v>
      </c>
      <c r="M30">
        <v>4.0541690584186698</v>
      </c>
      <c r="N30">
        <v>1.98435759021853</v>
      </c>
      <c r="O30">
        <v>188.71418967448</v>
      </c>
      <c r="P30">
        <v>0.23145839188354</v>
      </c>
      <c r="Q30">
        <v>5.9267025238295502E-2</v>
      </c>
      <c r="R30">
        <v>2.06108405956166E-2</v>
      </c>
      <c r="S30">
        <v>8.2820070107650495E-3</v>
      </c>
      <c r="T30">
        <v>0.19656653877928601</v>
      </c>
      <c r="U30">
        <v>6.9286231450672503E-2</v>
      </c>
      <c r="V30">
        <v>2.1483117222991299E-2</v>
      </c>
      <c r="W30">
        <v>1.0515147767327E-2</v>
      </c>
    </row>
    <row r="31" spans="1:23">
      <c r="A31">
        <v>12</v>
      </c>
      <c r="B31">
        <v>12</v>
      </c>
      <c r="C31">
        <v>12</v>
      </c>
      <c r="D31" t="s">
        <v>0</v>
      </c>
      <c r="E31">
        <v>3</v>
      </c>
      <c r="F31">
        <v>39.870405477021897</v>
      </c>
      <c r="G31">
        <v>13.4375343359361</v>
      </c>
      <c r="H31">
        <v>6.3186754470246704</v>
      </c>
      <c r="I31">
        <v>2.67531015900604</v>
      </c>
      <c r="J31">
        <v>180.62322491808999</v>
      </c>
      <c r="K31">
        <v>61.808523645042001</v>
      </c>
      <c r="L31">
        <v>17.152668773116901</v>
      </c>
      <c r="M31">
        <v>7.6272733555668903</v>
      </c>
      <c r="N31">
        <v>3.7763779567320799</v>
      </c>
      <c r="O31">
        <v>273.61189576337398</v>
      </c>
      <c r="P31">
        <v>0.22073797815924501</v>
      </c>
      <c r="Q31">
        <v>7.4395384879379703E-2</v>
      </c>
      <c r="R31">
        <v>3.49826300017071E-2</v>
      </c>
      <c r="S31">
        <v>1.48115512842784E-2</v>
      </c>
      <c r="T31">
        <v>0.22589852488904699</v>
      </c>
      <c r="U31">
        <v>6.2689777157755297E-2</v>
      </c>
      <c r="V31">
        <v>2.7876249072749101E-2</v>
      </c>
      <c r="W31">
        <v>1.38019509210154E-2</v>
      </c>
    </row>
    <row r="32" spans="1:23">
      <c r="A32">
        <v>18</v>
      </c>
      <c r="B32">
        <v>52</v>
      </c>
      <c r="C32">
        <v>52</v>
      </c>
      <c r="D32" t="s">
        <v>692</v>
      </c>
      <c r="E32">
        <v>1</v>
      </c>
      <c r="F32">
        <v>16.157104732587101</v>
      </c>
      <c r="G32">
        <v>4.5620359103645498</v>
      </c>
      <c r="H32">
        <v>1.8043408428716801</v>
      </c>
      <c r="I32">
        <v>0.94709675004189298</v>
      </c>
      <c r="J32">
        <v>74.967439657909694</v>
      </c>
      <c r="K32">
        <v>52.439200143034299</v>
      </c>
      <c r="L32">
        <v>8.1490578155118207</v>
      </c>
      <c r="M32">
        <v>2.8963896665586399</v>
      </c>
      <c r="N32">
        <v>1.94792349809502</v>
      </c>
      <c r="O32">
        <v>250.03162791738501</v>
      </c>
      <c r="P32">
        <v>0.21552162920749299</v>
      </c>
      <c r="Q32">
        <v>6.0853564309811897E-2</v>
      </c>
      <c r="R32">
        <v>2.4068326877711401E-2</v>
      </c>
      <c r="S32">
        <v>1.26334413228419E-2</v>
      </c>
      <c r="T32">
        <v>0.20973026724587501</v>
      </c>
      <c r="U32">
        <v>3.2592107980052902E-2</v>
      </c>
      <c r="V32">
        <v>1.1584093143270901E-2</v>
      </c>
      <c r="W32">
        <v>7.79070837685645E-3</v>
      </c>
    </row>
    <row r="33" spans="1:23">
      <c r="A33">
        <v>66</v>
      </c>
      <c r="B33">
        <v>13</v>
      </c>
      <c r="C33">
        <v>13</v>
      </c>
      <c r="D33" t="s">
        <v>694</v>
      </c>
      <c r="E33">
        <v>3</v>
      </c>
      <c r="F33">
        <v>30.4423196379893</v>
      </c>
      <c r="G33">
        <v>12.829437708035099</v>
      </c>
      <c r="H33">
        <v>5.2543413969353399</v>
      </c>
      <c r="I33">
        <v>2.5251441272820601</v>
      </c>
      <c r="J33">
        <v>153.76749904963401</v>
      </c>
      <c r="K33">
        <v>45.603358428517303</v>
      </c>
      <c r="L33">
        <v>14.287128724168101</v>
      </c>
      <c r="M33">
        <v>5.4068623990258704</v>
      </c>
      <c r="N33">
        <v>2.97243994156331</v>
      </c>
      <c r="O33">
        <v>232.14583995188801</v>
      </c>
      <c r="P33">
        <v>0.197976294250341</v>
      </c>
      <c r="Q33">
        <v>8.3434001250771203E-2</v>
      </c>
      <c r="R33">
        <v>3.4170689055944899E-2</v>
      </c>
      <c r="S33">
        <v>1.64218325906893E-2</v>
      </c>
      <c r="T33">
        <v>0.196442712210431</v>
      </c>
      <c r="U33">
        <v>6.15437637268412E-2</v>
      </c>
      <c r="V33">
        <v>2.32908003009938E-2</v>
      </c>
      <c r="W33">
        <v>1.2804192149983599E-2</v>
      </c>
    </row>
    <row r="34" spans="1:23">
      <c r="A34">
        <v>49</v>
      </c>
      <c r="B34">
        <v>36</v>
      </c>
      <c r="C34">
        <v>36</v>
      </c>
      <c r="D34" t="s">
        <v>696</v>
      </c>
      <c r="E34">
        <v>2</v>
      </c>
      <c r="F34">
        <v>33.093053473687299</v>
      </c>
      <c r="G34">
        <v>9.0609158537146808</v>
      </c>
      <c r="H34">
        <v>4.2115085260045602</v>
      </c>
      <c r="I34">
        <v>2.4462506121596701</v>
      </c>
      <c r="J34">
        <v>129.258010932041</v>
      </c>
      <c r="K34">
        <v>56.635344362666402</v>
      </c>
      <c r="L34">
        <v>11.0892708069251</v>
      </c>
      <c r="M34">
        <v>3.6148094660887802</v>
      </c>
      <c r="N34">
        <v>2.1090368606057601</v>
      </c>
      <c r="O34">
        <v>217.89999825850501</v>
      </c>
      <c r="P34">
        <v>0.25602323008889799</v>
      </c>
      <c r="Q34">
        <v>7.0099452934321904E-2</v>
      </c>
      <c r="R34">
        <v>3.2582185782038697E-2</v>
      </c>
      <c r="S34">
        <v>1.8925330774630399E-2</v>
      </c>
      <c r="T34">
        <v>0.25991438648603099</v>
      </c>
      <c r="U34">
        <v>5.0891559869447003E-2</v>
      </c>
      <c r="V34">
        <v>1.6589304703896201E-2</v>
      </c>
      <c r="W34">
        <v>9.6789209612737504E-3</v>
      </c>
    </row>
    <row r="35" spans="1:23">
      <c r="A35">
        <v>29</v>
      </c>
      <c r="B35">
        <v>53</v>
      </c>
      <c r="C35">
        <v>53</v>
      </c>
      <c r="D35" t="s">
        <v>698</v>
      </c>
      <c r="E35">
        <v>1</v>
      </c>
      <c r="F35">
        <v>51.913973932691199</v>
      </c>
      <c r="G35">
        <v>14.1948212957438</v>
      </c>
      <c r="H35">
        <v>5.4187683431207603</v>
      </c>
      <c r="I35">
        <v>2.1754121830142199</v>
      </c>
      <c r="J35">
        <v>291.44855258428902</v>
      </c>
      <c r="K35">
        <v>60.538393386616399</v>
      </c>
      <c r="L35">
        <v>17.866220277132399</v>
      </c>
      <c r="M35">
        <v>6.9905875647953399</v>
      </c>
      <c r="N35">
        <v>2.80577529753565</v>
      </c>
      <c r="O35">
        <v>270.87810728476398</v>
      </c>
      <c r="P35">
        <v>0.17812397238678099</v>
      </c>
      <c r="Q35">
        <v>4.8704380824257397E-2</v>
      </c>
      <c r="R35">
        <v>1.8592538185804201E-2</v>
      </c>
      <c r="S35">
        <v>7.46413788548518E-3</v>
      </c>
      <c r="T35">
        <v>0.22348942848664599</v>
      </c>
      <c r="U35">
        <v>6.59566786560212E-2</v>
      </c>
      <c r="V35">
        <v>2.58071338243899E-2</v>
      </c>
      <c r="W35">
        <v>1.0358073325527401E-2</v>
      </c>
    </row>
    <row r="36" spans="1:23">
      <c r="A36">
        <v>30</v>
      </c>
      <c r="B36">
        <v>37</v>
      </c>
      <c r="C36">
        <v>37</v>
      </c>
      <c r="D36" t="s">
        <v>700</v>
      </c>
      <c r="E36">
        <v>2</v>
      </c>
      <c r="F36">
        <v>13.0684781056161</v>
      </c>
      <c r="G36">
        <v>7.7732486714095597</v>
      </c>
      <c r="H36">
        <v>3.6574434824193101</v>
      </c>
      <c r="I36">
        <v>3.6140714231003099</v>
      </c>
      <c r="J36">
        <v>104.827025276283</v>
      </c>
      <c r="K36">
        <v>39.3070856522341</v>
      </c>
      <c r="L36">
        <v>13.7970440806884</v>
      </c>
      <c r="M36">
        <v>5.6937175897368002</v>
      </c>
      <c r="N36">
        <v>3.1809459967115101</v>
      </c>
      <c r="O36">
        <v>210.40285397785499</v>
      </c>
      <c r="P36">
        <v>0.12466707007255701</v>
      </c>
      <c r="Q36">
        <v>7.4153097933689197E-2</v>
      </c>
      <c r="R36">
        <v>3.4890272549275403E-2</v>
      </c>
      <c r="S36">
        <v>3.4476523716808899E-2</v>
      </c>
      <c r="T36">
        <v>0.18681821519574601</v>
      </c>
      <c r="U36">
        <v>6.5574415079657195E-2</v>
      </c>
      <c r="V36">
        <v>2.7061028318256901E-2</v>
      </c>
      <c r="W36">
        <v>1.5118359549658501E-2</v>
      </c>
    </row>
    <row r="37" spans="1:23">
      <c r="A37">
        <v>19</v>
      </c>
      <c r="B37">
        <v>38</v>
      </c>
      <c r="C37">
        <v>38</v>
      </c>
      <c r="D37" t="s">
        <v>702</v>
      </c>
      <c r="E37">
        <v>2</v>
      </c>
      <c r="F37">
        <v>41.778586977776001</v>
      </c>
      <c r="G37">
        <v>13.6852082349937</v>
      </c>
      <c r="H37">
        <v>6.1943979007021799</v>
      </c>
      <c r="I37">
        <v>2.9847273102743399</v>
      </c>
      <c r="J37">
        <v>217.96008198973399</v>
      </c>
      <c r="K37">
        <v>60.657233250156501</v>
      </c>
      <c r="L37">
        <v>17.684935860965901</v>
      </c>
      <c r="M37">
        <v>7.6229690739140299</v>
      </c>
      <c r="N37">
        <v>3.8938901923103901</v>
      </c>
      <c r="O37">
        <v>278.220767380192</v>
      </c>
      <c r="P37">
        <v>0.19167999294358801</v>
      </c>
      <c r="Q37">
        <v>6.2787681625290998E-2</v>
      </c>
      <c r="R37">
        <v>2.8419873236210001E-2</v>
      </c>
      <c r="S37">
        <v>1.36939171752327E-2</v>
      </c>
      <c r="T37">
        <v>0.21801835219319801</v>
      </c>
      <c r="U37">
        <v>6.3564398975289996E-2</v>
      </c>
      <c r="V37">
        <v>2.73989937763961E-2</v>
      </c>
      <c r="W37">
        <v>1.3995684897919001E-2</v>
      </c>
    </row>
    <row r="38" spans="1:23">
      <c r="B38">
        <v>74</v>
      </c>
      <c r="C38">
        <v>74</v>
      </c>
      <c r="D38" t="s">
        <v>706</v>
      </c>
      <c r="E38">
        <v>2</v>
      </c>
      <c r="F38">
        <v>81.757783074760695</v>
      </c>
      <c r="G38">
        <v>17.974092640134401</v>
      </c>
      <c r="H38">
        <v>4.9780470750494299</v>
      </c>
      <c r="I38">
        <v>2.0030389505716601</v>
      </c>
      <c r="J38">
        <v>371.982786438826</v>
      </c>
      <c r="K38">
        <v>73.252780303342007</v>
      </c>
      <c r="L38">
        <v>12.226593969911001</v>
      </c>
      <c r="M38">
        <v>3.5524975079022698</v>
      </c>
      <c r="N38">
        <v>1.62958028444783</v>
      </c>
      <c r="O38">
        <v>255.715527955113</v>
      </c>
      <c r="P38">
        <v>0.219789157066831</v>
      </c>
      <c r="Q38">
        <v>4.8319689231346601E-2</v>
      </c>
      <c r="R38">
        <v>1.3382466222984999E-2</v>
      </c>
      <c r="S38">
        <v>5.3847624771773397E-3</v>
      </c>
      <c r="T38">
        <v>0.28646199505022002</v>
      </c>
      <c r="U38">
        <v>4.7813263698469097E-2</v>
      </c>
      <c r="V38">
        <v>1.3892380866780501E-2</v>
      </c>
      <c r="W38">
        <v>6.3726293724872098E-3</v>
      </c>
    </row>
    <row r="39" spans="1:23">
      <c r="A39">
        <v>11</v>
      </c>
      <c r="B39">
        <v>40</v>
      </c>
      <c r="C39">
        <v>40</v>
      </c>
      <c r="D39" t="s">
        <v>708</v>
      </c>
      <c r="E39">
        <v>2</v>
      </c>
      <c r="F39">
        <v>35.446749196200201</v>
      </c>
      <c r="G39">
        <v>11.967059300474499</v>
      </c>
      <c r="H39">
        <v>3.9279512935734902</v>
      </c>
      <c r="I39">
        <v>1.76402748894207</v>
      </c>
      <c r="J39">
        <v>157.32509161693599</v>
      </c>
      <c r="K39">
        <v>78.039179907339701</v>
      </c>
      <c r="L39">
        <v>15.392597603962001</v>
      </c>
      <c r="M39">
        <v>5.7658025339677597</v>
      </c>
      <c r="N39">
        <v>3.0233615404703</v>
      </c>
      <c r="O39">
        <v>307.495395898335</v>
      </c>
      <c r="P39">
        <v>0.22530893725781401</v>
      </c>
      <c r="Q39">
        <v>7.6065802202820804E-2</v>
      </c>
      <c r="R39">
        <v>2.4967099991509801E-2</v>
      </c>
      <c r="S39">
        <v>1.12126264845103E-2</v>
      </c>
      <c r="T39">
        <v>0.25378975083302102</v>
      </c>
      <c r="U39">
        <v>5.0057977482860103E-2</v>
      </c>
      <c r="V39">
        <v>1.8750858096991001E-2</v>
      </c>
      <c r="W39">
        <v>9.8322172650347102E-3</v>
      </c>
    </row>
    <row r="40" spans="1:23">
      <c r="B40">
        <v>75</v>
      </c>
      <c r="C40">
        <v>75</v>
      </c>
      <c r="D40" t="s">
        <v>512</v>
      </c>
      <c r="E40">
        <v>1</v>
      </c>
      <c r="F40">
        <v>74.763506353239194</v>
      </c>
      <c r="G40">
        <v>14.2931339709819</v>
      </c>
      <c r="H40">
        <v>5.0470922092565003</v>
      </c>
      <c r="I40">
        <v>3.2660414797739099</v>
      </c>
      <c r="J40">
        <v>290.80047525261602</v>
      </c>
      <c r="K40">
        <v>72.034546633367199</v>
      </c>
      <c r="L40">
        <v>10.824324998399099</v>
      </c>
      <c r="M40">
        <v>4.7985595651477597</v>
      </c>
      <c r="N40">
        <v>3.7690759283407198</v>
      </c>
      <c r="O40">
        <v>296.71973364527503</v>
      </c>
      <c r="P40">
        <v>0.25709554390615402</v>
      </c>
      <c r="Q40">
        <v>4.9150999352960301E-2</v>
      </c>
      <c r="R40">
        <v>1.7355859562719601E-2</v>
      </c>
      <c r="S40">
        <v>1.12312109426119E-2</v>
      </c>
      <c r="T40">
        <v>0.24276965252160701</v>
      </c>
      <c r="U40">
        <v>3.6479963315616502E-2</v>
      </c>
      <c r="V40">
        <v>1.6172027071459899E-2</v>
      </c>
      <c r="W40">
        <v>1.27024781332764E-2</v>
      </c>
    </row>
    <row r="41" spans="1:23">
      <c r="A41">
        <v>73</v>
      </c>
      <c r="B41">
        <v>55</v>
      </c>
      <c r="C41">
        <v>55</v>
      </c>
      <c r="D41" t="s">
        <v>217</v>
      </c>
      <c r="E41">
        <v>1</v>
      </c>
      <c r="F41">
        <v>42.777654786108997</v>
      </c>
      <c r="G41">
        <v>15.089553458818999</v>
      </c>
      <c r="H41">
        <v>4.94711830825573</v>
      </c>
      <c r="I41">
        <v>3.6793859481010398</v>
      </c>
      <c r="J41">
        <v>225.86703764862901</v>
      </c>
      <c r="K41">
        <v>92.991716854945096</v>
      </c>
      <c r="L41">
        <v>41.845143605289003</v>
      </c>
      <c r="M41">
        <v>10.824324006202</v>
      </c>
      <c r="N41">
        <v>3.96495428726654</v>
      </c>
      <c r="O41">
        <v>380.95441643129698</v>
      </c>
      <c r="P41">
        <v>0.18939308378700301</v>
      </c>
      <c r="Q41">
        <v>6.6807240294589301E-2</v>
      </c>
      <c r="R41">
        <v>2.1902790065152101E-2</v>
      </c>
      <c r="S41">
        <v>1.62900527071369E-2</v>
      </c>
      <c r="T41">
        <v>0.244101952475239</v>
      </c>
      <c r="U41">
        <v>0.109842915058672</v>
      </c>
      <c r="V41">
        <v>2.8413698698133202E-2</v>
      </c>
      <c r="W41">
        <v>1.04079493930256E-2</v>
      </c>
    </row>
    <row r="42" spans="1:23">
      <c r="A42">
        <v>20</v>
      </c>
      <c r="B42">
        <v>56</v>
      </c>
      <c r="C42">
        <v>56</v>
      </c>
      <c r="D42" t="s">
        <v>712</v>
      </c>
      <c r="E42">
        <v>1</v>
      </c>
      <c r="F42">
        <v>68.501477822664</v>
      </c>
      <c r="G42">
        <v>30.127396281481101</v>
      </c>
      <c r="H42">
        <v>12.0667660040461</v>
      </c>
      <c r="I42">
        <v>4.8986345035060603</v>
      </c>
      <c r="J42">
        <v>331.68715045940502</v>
      </c>
      <c r="K42">
        <v>96.374819177303493</v>
      </c>
      <c r="L42">
        <v>26.150987837488401</v>
      </c>
      <c r="M42">
        <v>12.337556668271301</v>
      </c>
      <c r="N42">
        <v>5.8794332967264102</v>
      </c>
      <c r="O42">
        <v>398.06796607548199</v>
      </c>
      <c r="P42">
        <v>0.206524364081592</v>
      </c>
      <c r="Q42">
        <v>9.0830760973866401E-2</v>
      </c>
      <c r="R42">
        <v>3.63799622244423E-2</v>
      </c>
      <c r="S42">
        <v>1.47688401456649E-2</v>
      </c>
      <c r="T42">
        <v>0.24210644259435099</v>
      </c>
      <c r="U42">
        <v>6.5694780957404803E-2</v>
      </c>
      <c r="V42">
        <v>3.0993593355190498E-2</v>
      </c>
      <c r="W42">
        <v>1.4769923223642499E-2</v>
      </c>
    </row>
    <row r="43" spans="1:23">
      <c r="A43">
        <v>10</v>
      </c>
      <c r="B43">
        <v>14</v>
      </c>
      <c r="C43">
        <v>14</v>
      </c>
      <c r="D43" t="s">
        <v>714</v>
      </c>
      <c r="E43">
        <v>3</v>
      </c>
      <c r="F43">
        <v>31.080904179106501</v>
      </c>
      <c r="G43">
        <v>9.5808165894389798</v>
      </c>
      <c r="H43">
        <v>3.3240813302704701</v>
      </c>
      <c r="I43">
        <v>1.90321794845612</v>
      </c>
      <c r="J43">
        <v>120.65103376927</v>
      </c>
      <c r="K43">
        <v>63.193348475703402</v>
      </c>
      <c r="L43">
        <v>10.300479573929699</v>
      </c>
      <c r="M43">
        <v>3.5836506483950799</v>
      </c>
      <c r="N43">
        <v>2.1744966333621099</v>
      </c>
      <c r="O43">
        <v>264.18768638886201</v>
      </c>
      <c r="P43">
        <v>0.25760992846977898</v>
      </c>
      <c r="Q43">
        <v>7.9409320335879593E-2</v>
      </c>
      <c r="R43">
        <v>2.7551204713482699E-2</v>
      </c>
      <c r="S43">
        <v>1.57745680993981E-2</v>
      </c>
      <c r="T43">
        <v>0.239198689914291</v>
      </c>
      <c r="U43">
        <v>3.8989249327723199E-2</v>
      </c>
      <c r="V43">
        <v>1.35647906129896E-2</v>
      </c>
      <c r="W43">
        <v>8.2308780665933008E-3</v>
      </c>
    </row>
    <row r="44" spans="1:23">
      <c r="A44">
        <v>37</v>
      </c>
      <c r="B44">
        <v>57</v>
      </c>
      <c r="C44">
        <v>57</v>
      </c>
      <c r="D44" t="s">
        <v>718</v>
      </c>
      <c r="E44">
        <v>1</v>
      </c>
      <c r="F44">
        <v>47.498973899590297</v>
      </c>
      <c r="G44">
        <v>9.8820758563548807</v>
      </c>
      <c r="H44">
        <v>5.4897053974974304</v>
      </c>
      <c r="I44">
        <v>3.2562547578902898</v>
      </c>
      <c r="J44">
        <v>229.00899841248699</v>
      </c>
      <c r="K44">
        <v>39.236535019394701</v>
      </c>
      <c r="L44">
        <v>9.0345383148404004</v>
      </c>
      <c r="M44">
        <v>4.4001112894789403</v>
      </c>
      <c r="N44">
        <v>2.63243229557761</v>
      </c>
      <c r="O44">
        <v>177.878577050807</v>
      </c>
      <c r="P44">
        <v>0.20741094991401099</v>
      </c>
      <c r="Q44">
        <v>4.3151474068086303E-2</v>
      </c>
      <c r="R44">
        <v>2.39715707048745E-2</v>
      </c>
      <c r="S44">
        <v>1.42188943686186E-2</v>
      </c>
      <c r="T44">
        <v>0.22058044127589099</v>
      </c>
      <c r="U44">
        <v>5.0790480026495097E-2</v>
      </c>
      <c r="V44">
        <v>2.4736600452015801E-2</v>
      </c>
      <c r="W44">
        <v>1.47990406670822E-2</v>
      </c>
    </row>
    <row r="45" spans="1:23">
      <c r="A45">
        <v>74</v>
      </c>
      <c r="B45">
        <v>58</v>
      </c>
      <c r="C45">
        <v>58</v>
      </c>
      <c r="D45" t="s">
        <v>216</v>
      </c>
      <c r="E45">
        <v>1</v>
      </c>
      <c r="F45">
        <v>51.283712113954202</v>
      </c>
      <c r="G45">
        <v>16.191301928698898</v>
      </c>
      <c r="H45">
        <v>6.1157109993194396</v>
      </c>
      <c r="I45">
        <v>3.1243060634925799</v>
      </c>
      <c r="J45">
        <v>263.98161065756898</v>
      </c>
      <c r="K45">
        <v>61.1012911255877</v>
      </c>
      <c r="L45">
        <v>23.5007776522162</v>
      </c>
      <c r="M45">
        <v>9.0042815663935905</v>
      </c>
      <c r="N45">
        <v>4.1060237514390696</v>
      </c>
      <c r="O45">
        <v>330.48810725904701</v>
      </c>
      <c r="P45">
        <v>0.19427001746905101</v>
      </c>
      <c r="Q45">
        <v>6.1334961508746698E-2</v>
      </c>
      <c r="R45">
        <v>2.3167185714510301E-2</v>
      </c>
      <c r="S45">
        <v>1.18353170726932E-2</v>
      </c>
      <c r="T45">
        <v>0.184881966350743</v>
      </c>
      <c r="U45">
        <v>7.1109299052009703E-2</v>
      </c>
      <c r="V45">
        <v>2.72454026895914E-2</v>
      </c>
      <c r="W45">
        <v>1.2424119540920899E-2</v>
      </c>
    </row>
    <row r="46" spans="1:23">
      <c r="A46">
        <v>5</v>
      </c>
      <c r="B46">
        <v>15</v>
      </c>
      <c r="C46">
        <v>15</v>
      </c>
      <c r="D46" t="s">
        <v>5</v>
      </c>
      <c r="E46">
        <v>3</v>
      </c>
      <c r="F46">
        <v>44.666019050232499</v>
      </c>
      <c r="G46">
        <v>17.231104612409901</v>
      </c>
      <c r="H46">
        <v>6.0881258490416998</v>
      </c>
      <c r="I46">
        <v>2.6936744006706999</v>
      </c>
      <c r="J46">
        <v>202.013676694895</v>
      </c>
      <c r="K46">
        <v>71.345559003929196</v>
      </c>
      <c r="L46">
        <v>19.200468558899299</v>
      </c>
      <c r="M46">
        <v>6.4853928000606196</v>
      </c>
      <c r="N46">
        <v>3.3355548675715299</v>
      </c>
      <c r="O46">
        <v>328.44788727633801</v>
      </c>
      <c r="P46">
        <v>0.22110393603544201</v>
      </c>
      <c r="Q46">
        <v>8.5296722946309897E-2</v>
      </c>
      <c r="R46">
        <v>3.0137196395057599E-2</v>
      </c>
      <c r="S46">
        <v>1.33341189801669E-2</v>
      </c>
      <c r="T46">
        <v>0.21722033165006499</v>
      </c>
      <c r="U46">
        <v>5.8458188658540799E-2</v>
      </c>
      <c r="V46">
        <v>1.9745576242980001E-2</v>
      </c>
      <c r="W46">
        <v>1.0155507149799899E-2</v>
      </c>
    </row>
    <row r="47" spans="1:23">
      <c r="A47">
        <v>4</v>
      </c>
      <c r="B47">
        <v>16</v>
      </c>
      <c r="C47">
        <v>16</v>
      </c>
      <c r="D47" t="s">
        <v>722</v>
      </c>
      <c r="E47">
        <v>3</v>
      </c>
      <c r="F47">
        <v>40.464574307413102</v>
      </c>
      <c r="G47">
        <v>9.6615560699023604</v>
      </c>
      <c r="H47">
        <v>3.9351708808341201</v>
      </c>
      <c r="I47">
        <v>2.0266568789916199</v>
      </c>
      <c r="J47">
        <v>206.300552269066</v>
      </c>
      <c r="K47">
        <v>62.869904429880698</v>
      </c>
      <c r="L47">
        <v>13.6755265267146</v>
      </c>
      <c r="M47">
        <v>4.4906150664194202</v>
      </c>
      <c r="N47">
        <v>2.3041662761105499</v>
      </c>
      <c r="O47">
        <v>315.05316757642402</v>
      </c>
      <c r="P47">
        <v>0.19614380020969299</v>
      </c>
      <c r="Q47">
        <v>4.6832429499758799E-2</v>
      </c>
      <c r="R47">
        <v>1.9074941087417401E-2</v>
      </c>
      <c r="S47">
        <v>9.8238073369205405E-3</v>
      </c>
      <c r="T47">
        <v>0.19955331639263699</v>
      </c>
      <c r="U47">
        <v>4.3407043426717098E-2</v>
      </c>
      <c r="V47">
        <v>1.42535150525986E-2</v>
      </c>
      <c r="W47">
        <v>7.3135791454996902E-3</v>
      </c>
    </row>
    <row r="48" spans="1:23">
      <c r="A48">
        <v>2</v>
      </c>
      <c r="B48">
        <v>59</v>
      </c>
      <c r="C48">
        <v>59</v>
      </c>
      <c r="D48" t="s">
        <v>724</v>
      </c>
      <c r="E48">
        <v>1</v>
      </c>
      <c r="F48">
        <v>53.0688039687114</v>
      </c>
      <c r="G48">
        <v>10.328421399291599</v>
      </c>
      <c r="H48">
        <v>4.5924649696213704</v>
      </c>
      <c r="I48">
        <v>3.2458797432419901</v>
      </c>
      <c r="J48">
        <v>262.98361859000102</v>
      </c>
      <c r="K48">
        <v>44.676821704209303</v>
      </c>
      <c r="L48">
        <v>9.2123974319631898</v>
      </c>
      <c r="M48">
        <v>4.0628258332569196</v>
      </c>
      <c r="N48">
        <v>2.9211313862039301</v>
      </c>
      <c r="O48">
        <v>243.59413323617599</v>
      </c>
      <c r="P48">
        <v>0.20179509375238799</v>
      </c>
      <c r="Q48">
        <v>3.9274010505551203E-2</v>
      </c>
      <c r="R48">
        <v>1.7462931699868199E-2</v>
      </c>
      <c r="S48">
        <v>1.23425168481783E-2</v>
      </c>
      <c r="T48">
        <v>0.183406805043589</v>
      </c>
      <c r="U48">
        <v>3.7818634256808398E-2</v>
      </c>
      <c r="V48">
        <v>1.66786686496995E-2</v>
      </c>
      <c r="W48">
        <v>1.1991796959131801E-2</v>
      </c>
    </row>
    <row r="49" spans="1:23">
      <c r="A49">
        <v>58</v>
      </c>
      <c r="B49">
        <v>60</v>
      </c>
      <c r="C49">
        <v>60</v>
      </c>
      <c r="D49" t="s">
        <v>46</v>
      </c>
      <c r="E49">
        <v>1</v>
      </c>
      <c r="F49">
        <v>34.6268503797981</v>
      </c>
      <c r="G49">
        <v>8.65618607587054</v>
      </c>
      <c r="H49">
        <v>4.08361874405868</v>
      </c>
      <c r="I49">
        <v>2.4166414075229801</v>
      </c>
      <c r="J49">
        <v>243.56331699862301</v>
      </c>
      <c r="K49">
        <v>65.915545272231597</v>
      </c>
      <c r="L49">
        <v>8.5613527209533604</v>
      </c>
      <c r="M49">
        <v>3.35514396428868</v>
      </c>
      <c r="N49">
        <v>2.4164416609727701</v>
      </c>
      <c r="O49">
        <v>345.595827953477</v>
      </c>
      <c r="P49">
        <v>0.14216775664947101</v>
      </c>
      <c r="Q49">
        <v>3.5539777428468297E-2</v>
      </c>
      <c r="R49">
        <v>1.6766148508651501E-2</v>
      </c>
      <c r="S49">
        <v>9.9220253579344903E-3</v>
      </c>
      <c r="T49">
        <v>0.19073015337761801</v>
      </c>
      <c r="U49">
        <v>2.47727316954355E-2</v>
      </c>
      <c r="V49">
        <v>9.7082883903920909E-3</v>
      </c>
      <c r="W49">
        <v>6.9921031028709899E-3</v>
      </c>
    </row>
    <row r="50" spans="1:23">
      <c r="B50">
        <v>76</v>
      </c>
      <c r="C50">
        <v>77</v>
      </c>
      <c r="D50" t="s">
        <v>728</v>
      </c>
      <c r="E50">
        <v>3</v>
      </c>
      <c r="F50">
        <v>40.693549638006203</v>
      </c>
      <c r="G50">
        <v>9.6753124789636207</v>
      </c>
      <c r="H50">
        <v>3.1860396713746302</v>
      </c>
      <c r="I50">
        <v>1.04284593944005</v>
      </c>
      <c r="J50">
        <v>178.61897161709501</v>
      </c>
      <c r="K50">
        <v>76.269103325712393</v>
      </c>
      <c r="L50">
        <v>14.6473816858184</v>
      </c>
      <c r="M50">
        <v>5.1377930898260296</v>
      </c>
      <c r="N50">
        <v>2.9984791926709198</v>
      </c>
      <c r="O50">
        <v>316.21637269487502</v>
      </c>
      <c r="P50">
        <v>0.227823222077668</v>
      </c>
      <c r="Q50">
        <v>5.4167328315519403E-2</v>
      </c>
      <c r="R50">
        <v>1.78370731984984E-2</v>
      </c>
      <c r="S50">
        <v>5.8383828436521998E-3</v>
      </c>
      <c r="T50">
        <v>0.24119277150556101</v>
      </c>
      <c r="U50">
        <v>4.6320756768505597E-2</v>
      </c>
      <c r="V50">
        <v>1.6247713696923599E-2</v>
      </c>
      <c r="W50">
        <v>9.4823654041602291E-3</v>
      </c>
    </row>
    <row r="51" spans="1:23">
      <c r="B51">
        <v>77</v>
      </c>
      <c r="C51">
        <v>78</v>
      </c>
      <c r="D51" t="s">
        <v>730</v>
      </c>
      <c r="E51">
        <v>3</v>
      </c>
      <c r="F51">
        <v>22.9716323082116</v>
      </c>
      <c r="G51">
        <v>7.0485987884853598</v>
      </c>
      <c r="H51">
        <v>3.2863266653471599</v>
      </c>
      <c r="I51">
        <v>2.20360002583126</v>
      </c>
      <c r="J51">
        <v>133.10065180602601</v>
      </c>
      <c r="K51">
        <v>40.211599764219201</v>
      </c>
      <c r="L51">
        <v>7.7663205647550502</v>
      </c>
      <c r="M51">
        <v>3.57343845731745</v>
      </c>
      <c r="N51">
        <v>2.55721161420959</v>
      </c>
      <c r="O51">
        <v>180.02532922857799</v>
      </c>
      <c r="P51">
        <v>0.17258842835487501</v>
      </c>
      <c r="Q51">
        <v>5.2956906617990199E-2</v>
      </c>
      <c r="R51">
        <v>2.46905377303221E-2</v>
      </c>
      <c r="S51">
        <v>1.6555892070631399E-2</v>
      </c>
      <c r="T51">
        <v>0.223366344816748</v>
      </c>
      <c r="U51">
        <v>4.31401547661893E-2</v>
      </c>
      <c r="V51">
        <v>1.98496426732277E-2</v>
      </c>
      <c r="W51">
        <v>1.4204732329430699E-2</v>
      </c>
    </row>
    <row r="52" spans="1:23">
      <c r="A52">
        <v>62</v>
      </c>
      <c r="B52">
        <v>17</v>
      </c>
      <c r="C52">
        <v>17</v>
      </c>
      <c r="D52" t="s">
        <v>206</v>
      </c>
      <c r="E52">
        <v>3</v>
      </c>
      <c r="F52">
        <v>30.900501966312898</v>
      </c>
      <c r="G52">
        <v>5.6565825274948098</v>
      </c>
      <c r="H52">
        <v>3.14754716968875</v>
      </c>
      <c r="I52">
        <v>1.6203904409349601</v>
      </c>
      <c r="J52">
        <v>217.55788548143599</v>
      </c>
      <c r="K52">
        <v>63.0962732867958</v>
      </c>
      <c r="L52">
        <v>7.6874206725899601</v>
      </c>
      <c r="M52">
        <v>2.7106219977278601</v>
      </c>
      <c r="N52">
        <v>1.74186769664084</v>
      </c>
      <c r="O52">
        <v>353.90219996309401</v>
      </c>
      <c r="P52">
        <v>0.14203347259940899</v>
      </c>
      <c r="Q52">
        <v>2.6000356249911601E-2</v>
      </c>
      <c r="R52">
        <v>1.4467630822590101E-2</v>
      </c>
      <c r="S52">
        <v>7.4480887573860101E-3</v>
      </c>
      <c r="T52">
        <v>0.178287315799042</v>
      </c>
      <c r="U52">
        <v>2.1721878737661501E-2</v>
      </c>
      <c r="V52">
        <v>7.6592403155745798E-3</v>
      </c>
      <c r="W52">
        <v>4.9218899934006799E-3</v>
      </c>
    </row>
    <row r="53" spans="1:23">
      <c r="B53">
        <v>78</v>
      </c>
      <c r="C53">
        <v>79</v>
      </c>
      <c r="D53" t="s">
        <v>733</v>
      </c>
      <c r="E53">
        <v>3</v>
      </c>
      <c r="F53">
        <v>32.377721746700701</v>
      </c>
      <c r="G53">
        <v>9.9083878799512899</v>
      </c>
      <c r="H53">
        <v>2.9997214730717898</v>
      </c>
      <c r="I53">
        <v>1.4350222027936399</v>
      </c>
      <c r="J53">
        <v>121.675440279119</v>
      </c>
      <c r="K53">
        <v>47.756052065696103</v>
      </c>
      <c r="L53">
        <v>11.767742037608899</v>
      </c>
      <c r="M53">
        <v>4.4357629310454998</v>
      </c>
      <c r="N53">
        <v>2.8807312820479201</v>
      </c>
      <c r="O53">
        <v>212.14427497408701</v>
      </c>
      <c r="P53">
        <v>0.266099072026592</v>
      </c>
      <c r="Q53">
        <v>8.1432932210656298E-2</v>
      </c>
      <c r="R53">
        <v>2.4653467176206902E-2</v>
      </c>
      <c r="S53">
        <v>1.17938525597421E-2</v>
      </c>
      <c r="T53">
        <v>0.22511119883640199</v>
      </c>
      <c r="U53">
        <v>5.5470467157533503E-2</v>
      </c>
      <c r="V53">
        <v>2.0909180469693599E-2</v>
      </c>
      <c r="W53">
        <v>1.35791139421499E-2</v>
      </c>
    </row>
    <row r="54" spans="1:23">
      <c r="A54">
        <v>26</v>
      </c>
      <c r="B54">
        <v>18</v>
      </c>
      <c r="C54">
        <v>18</v>
      </c>
      <c r="D54" t="s">
        <v>735</v>
      </c>
      <c r="E54">
        <v>3</v>
      </c>
      <c r="F54">
        <v>41.3958764485917</v>
      </c>
      <c r="G54">
        <v>26.6103552540206</v>
      </c>
      <c r="H54">
        <v>10.8165306624721</v>
      </c>
      <c r="I54">
        <v>4.1250160487503598</v>
      </c>
      <c r="J54">
        <v>174.26214015937401</v>
      </c>
      <c r="K54">
        <v>13.8786107320749</v>
      </c>
      <c r="L54">
        <v>10.9937848075263</v>
      </c>
      <c r="M54">
        <v>6.0525006498723597</v>
      </c>
      <c r="N54">
        <v>2.4657359825565099</v>
      </c>
      <c r="O54">
        <v>74.959911226683104</v>
      </c>
      <c r="P54">
        <v>0.23754945515263601</v>
      </c>
      <c r="Q54">
        <v>0.152703021033046</v>
      </c>
      <c r="R54">
        <v>6.2070456913818101E-2</v>
      </c>
      <c r="S54">
        <v>2.3671326686208301E-2</v>
      </c>
      <c r="T54">
        <v>0.185147107366566</v>
      </c>
      <c r="U54">
        <v>0.146662190864667</v>
      </c>
      <c r="V54">
        <v>8.0743167258686493E-2</v>
      </c>
      <c r="W54">
        <v>3.2894062202127997E-2</v>
      </c>
    </row>
    <row r="55" spans="1:23">
      <c r="A55">
        <v>35</v>
      </c>
      <c r="B55">
        <v>21</v>
      </c>
      <c r="C55">
        <v>21</v>
      </c>
      <c r="D55" t="s">
        <v>743</v>
      </c>
      <c r="E55">
        <v>3</v>
      </c>
      <c r="F55">
        <v>43.361188451332801</v>
      </c>
      <c r="G55">
        <v>17.4397415796453</v>
      </c>
      <c r="H55">
        <v>6.7026100473326</v>
      </c>
      <c r="I55">
        <v>3.0827028453737499</v>
      </c>
      <c r="J55">
        <v>205.888209296284</v>
      </c>
      <c r="K55">
        <v>40.175065697713997</v>
      </c>
      <c r="L55">
        <v>14.4245938304259</v>
      </c>
      <c r="M55">
        <v>7.2008285734595301</v>
      </c>
      <c r="N55">
        <v>3.9907972836975101</v>
      </c>
      <c r="O55">
        <v>214.646550424335</v>
      </c>
      <c r="P55">
        <v>0.21060549605797901</v>
      </c>
      <c r="Q55">
        <v>8.47049067999259E-2</v>
      </c>
      <c r="R55">
        <v>3.2554608494783699E-2</v>
      </c>
      <c r="S55">
        <v>1.49727022052904E-2</v>
      </c>
      <c r="T55">
        <v>0.18716846657117001</v>
      </c>
      <c r="U55">
        <v>6.7201610284022398E-2</v>
      </c>
      <c r="V55">
        <v>3.3547376182958499E-2</v>
      </c>
      <c r="W55">
        <v>1.8592412856428899E-2</v>
      </c>
    </row>
    <row r="56" spans="1:23">
      <c r="A56">
        <v>64</v>
      </c>
      <c r="B56">
        <v>20</v>
      </c>
      <c r="C56">
        <v>20</v>
      </c>
      <c r="D56" t="s">
        <v>209</v>
      </c>
      <c r="E56">
        <v>3</v>
      </c>
      <c r="F56">
        <v>58.768436424995997</v>
      </c>
      <c r="G56">
        <v>23.2821226100553</v>
      </c>
      <c r="H56">
        <v>9.7560274077917306</v>
      </c>
      <c r="I56">
        <v>4.4254496000697197</v>
      </c>
      <c r="J56">
        <v>304.06143999728499</v>
      </c>
      <c r="K56">
        <v>68.326464539809805</v>
      </c>
      <c r="L56">
        <v>24.185735531681399</v>
      </c>
      <c r="M56">
        <v>9.9522292472040608</v>
      </c>
      <c r="N56">
        <v>5.0954519545526598</v>
      </c>
      <c r="O56">
        <v>333.612070506029</v>
      </c>
      <c r="P56">
        <v>0.19327816255004501</v>
      </c>
      <c r="Q56">
        <v>7.65704543471976E-2</v>
      </c>
      <c r="R56">
        <v>3.2085710729643398E-2</v>
      </c>
      <c r="S56">
        <v>1.45544584677006E-2</v>
      </c>
      <c r="T56">
        <v>0.204808130701539</v>
      </c>
      <c r="U56">
        <v>7.24965841163841E-2</v>
      </c>
      <c r="V56">
        <v>2.98317420952675E-2</v>
      </c>
      <c r="W56">
        <v>1.5273583916864199E-2</v>
      </c>
    </row>
    <row r="57" spans="1:23">
      <c r="A57">
        <v>44</v>
      </c>
      <c r="B57">
        <v>41</v>
      </c>
      <c r="C57">
        <v>41</v>
      </c>
      <c r="D57" t="s">
        <v>737</v>
      </c>
      <c r="E57">
        <v>2</v>
      </c>
      <c r="F57">
        <v>51.345516721107501</v>
      </c>
      <c r="G57">
        <v>9.9471050913419301</v>
      </c>
      <c r="H57">
        <v>4.56612068756339</v>
      </c>
      <c r="I57">
        <v>2.5318910189714701</v>
      </c>
      <c r="J57">
        <v>284.255786336276</v>
      </c>
      <c r="K57">
        <v>84.127466086664995</v>
      </c>
      <c r="L57">
        <v>13.3769443794908</v>
      </c>
      <c r="M57">
        <v>4.1993642333445198</v>
      </c>
      <c r="N57">
        <v>2.9740889598314402</v>
      </c>
      <c r="O57">
        <v>429.08679622252498</v>
      </c>
      <c r="P57">
        <v>0.18063138619934899</v>
      </c>
      <c r="Q57">
        <v>3.4993500816811698E-2</v>
      </c>
      <c r="R57">
        <v>1.6063422125598002E-2</v>
      </c>
      <c r="S57">
        <v>8.9070869993697604E-3</v>
      </c>
      <c r="T57">
        <v>0.196061651925165</v>
      </c>
      <c r="U57">
        <v>3.1175381058692601E-2</v>
      </c>
      <c r="V57">
        <v>9.7867477403492994E-3</v>
      </c>
      <c r="W57">
        <v>6.9312059611572703E-3</v>
      </c>
    </row>
    <row r="58" spans="1:23">
      <c r="A58">
        <v>59</v>
      </c>
      <c r="B58">
        <v>19</v>
      </c>
      <c r="C58">
        <v>19</v>
      </c>
      <c r="D58" t="s">
        <v>202</v>
      </c>
      <c r="E58">
        <v>3</v>
      </c>
      <c r="F58">
        <v>37.6052764057888</v>
      </c>
      <c r="G58">
        <v>8.7484649578128604</v>
      </c>
      <c r="H58">
        <v>3.7127112333324401</v>
      </c>
      <c r="I58">
        <v>2.2507708075908202</v>
      </c>
      <c r="J58">
        <v>174.09692271318099</v>
      </c>
      <c r="K58">
        <v>63.4304297496572</v>
      </c>
      <c r="L58">
        <v>17.940839830087199</v>
      </c>
      <c r="M58">
        <v>7.1715902481080498</v>
      </c>
      <c r="N58">
        <v>4.1483046125643002</v>
      </c>
      <c r="O58">
        <v>261.81324653382001</v>
      </c>
      <c r="P58">
        <v>0.21600195925198701</v>
      </c>
      <c r="Q58">
        <v>5.02505433265222E-2</v>
      </c>
      <c r="R58">
        <v>2.1325541976689701E-2</v>
      </c>
      <c r="S58">
        <v>1.2928263018748999E-2</v>
      </c>
      <c r="T58">
        <v>0.24227356938360001</v>
      </c>
      <c r="U58">
        <v>6.8525332723260807E-2</v>
      </c>
      <c r="V58">
        <v>2.7392006871514999E-2</v>
      </c>
      <c r="W58">
        <v>1.5844517676184201E-2</v>
      </c>
    </row>
    <row r="59" spans="1:23">
      <c r="A59">
        <v>21</v>
      </c>
      <c r="B59">
        <v>61</v>
      </c>
      <c r="C59">
        <v>61</v>
      </c>
      <c r="D59" t="s">
        <v>741</v>
      </c>
      <c r="E59">
        <v>1</v>
      </c>
      <c r="F59">
        <v>19.024136175474599</v>
      </c>
      <c r="G59">
        <v>5.3517072790374902</v>
      </c>
      <c r="H59">
        <v>2.8519239899110702</v>
      </c>
      <c r="I59">
        <v>1.3569540608057999</v>
      </c>
      <c r="J59">
        <v>124.724291073503</v>
      </c>
      <c r="K59">
        <v>37.480780433597502</v>
      </c>
      <c r="L59">
        <v>8.7718145940603698</v>
      </c>
      <c r="M59">
        <v>3.2846918576045501</v>
      </c>
      <c r="N59">
        <v>2.1655086128482202</v>
      </c>
      <c r="O59">
        <v>204.02558328295899</v>
      </c>
      <c r="P59">
        <v>0.15252951940422901</v>
      </c>
      <c r="Q59">
        <v>4.2908299842599099E-2</v>
      </c>
      <c r="R59">
        <v>2.2865826418931999E-2</v>
      </c>
      <c r="S59">
        <v>1.0879629373929301E-2</v>
      </c>
      <c r="T59">
        <v>0.183706277568221</v>
      </c>
      <c r="U59">
        <v>4.2993699382762797E-2</v>
      </c>
      <c r="V59">
        <v>1.6099411675491102E-2</v>
      </c>
      <c r="W59">
        <v>1.0613907226746801E-2</v>
      </c>
    </row>
    <row r="60" spans="1:23">
      <c r="A60">
        <v>52</v>
      </c>
      <c r="B60">
        <v>62</v>
      </c>
      <c r="C60">
        <v>62</v>
      </c>
      <c r="D60" t="s">
        <v>745</v>
      </c>
      <c r="E60">
        <v>1</v>
      </c>
      <c r="F60">
        <v>54.4629755280097</v>
      </c>
      <c r="G60">
        <v>17.085391944993599</v>
      </c>
      <c r="H60">
        <v>6.2242969945904099</v>
      </c>
      <c r="I60">
        <v>3.1886496175464298</v>
      </c>
      <c r="J60">
        <v>257.81842789267898</v>
      </c>
      <c r="K60">
        <v>70.7007444951483</v>
      </c>
      <c r="L60">
        <v>18.070438226382301</v>
      </c>
      <c r="M60">
        <v>6.6869690585118002</v>
      </c>
      <c r="N60">
        <v>3.4438843244117101</v>
      </c>
      <c r="O60">
        <v>283.63037826494701</v>
      </c>
      <c r="P60">
        <v>0.21124547214553999</v>
      </c>
      <c r="Q60">
        <v>6.6269087452917499E-2</v>
      </c>
      <c r="R60">
        <v>2.4142172634693801E-2</v>
      </c>
      <c r="S60">
        <v>1.23678111126865E-2</v>
      </c>
      <c r="T60">
        <v>0.24927070551344399</v>
      </c>
      <c r="U60">
        <v>6.3711222813736298E-2</v>
      </c>
      <c r="V60">
        <v>2.3576349964407901E-2</v>
      </c>
      <c r="W60">
        <v>1.2142156088776499E-2</v>
      </c>
    </row>
    <row r="61" spans="1:23">
      <c r="A61">
        <v>77</v>
      </c>
      <c r="B61">
        <v>42</v>
      </c>
      <c r="C61">
        <v>42</v>
      </c>
      <c r="D61" t="s">
        <v>219</v>
      </c>
      <c r="E61">
        <v>2</v>
      </c>
      <c r="F61">
        <v>22.5072522884116</v>
      </c>
      <c r="G61">
        <v>8.4922318249592497</v>
      </c>
      <c r="H61">
        <v>2.3627519798387899</v>
      </c>
      <c r="I61">
        <v>1.4975608452059299</v>
      </c>
      <c r="J61">
        <v>118.816850720792</v>
      </c>
      <c r="K61">
        <v>41.586235407564097</v>
      </c>
      <c r="L61">
        <v>13.360286993185699</v>
      </c>
      <c r="M61">
        <v>4.7953782679752797</v>
      </c>
      <c r="N61">
        <v>2.7714758051739201</v>
      </c>
      <c r="O61">
        <v>261.27196669253198</v>
      </c>
      <c r="P61">
        <v>0.189428116903228</v>
      </c>
      <c r="Q61">
        <v>7.1473295020376706E-2</v>
      </c>
      <c r="R61">
        <v>1.98856640746271E-2</v>
      </c>
      <c r="S61">
        <v>1.2603943263275399E-2</v>
      </c>
      <c r="T61">
        <v>0.159168378965445</v>
      </c>
      <c r="U61">
        <v>5.1135554886790599E-2</v>
      </c>
      <c r="V61">
        <v>1.83539716437261E-2</v>
      </c>
      <c r="W61">
        <v>1.06076279068831E-2</v>
      </c>
    </row>
    <row r="62" spans="1:23">
      <c r="A62">
        <v>71</v>
      </c>
      <c r="B62">
        <v>63</v>
      </c>
      <c r="C62">
        <v>63</v>
      </c>
      <c r="D62" t="s">
        <v>820</v>
      </c>
      <c r="E62">
        <v>1</v>
      </c>
      <c r="F62">
        <v>48.376615998818203</v>
      </c>
      <c r="G62">
        <v>25.5764089503494</v>
      </c>
      <c r="H62">
        <v>7.7127944424045101</v>
      </c>
      <c r="I62">
        <v>3.0523908616998701</v>
      </c>
      <c r="J62">
        <v>213.972804278447</v>
      </c>
      <c r="K62">
        <v>105.097164901651</v>
      </c>
      <c r="L62">
        <v>57.2613744157536</v>
      </c>
      <c r="M62">
        <v>17.774323392758198</v>
      </c>
      <c r="N62">
        <v>7.2902208407319904</v>
      </c>
      <c r="O62">
        <v>434.388979987884</v>
      </c>
      <c r="P62">
        <v>0.22608768512406299</v>
      </c>
      <c r="Q62">
        <v>0.119531120025264</v>
      </c>
      <c r="R62">
        <v>3.6045676311124597E-2</v>
      </c>
      <c r="S62">
        <v>1.42653215766978E-2</v>
      </c>
      <c r="T62">
        <v>0.24194252097413299</v>
      </c>
      <c r="U62">
        <v>0.131820504326216</v>
      </c>
      <c r="V62">
        <v>4.0917988741919702E-2</v>
      </c>
      <c r="W62">
        <v>1.6782702086354299E-2</v>
      </c>
    </row>
    <row r="63" spans="1:23">
      <c r="A63">
        <v>39</v>
      </c>
      <c r="B63">
        <v>64</v>
      </c>
      <c r="C63">
        <v>64</v>
      </c>
      <c r="D63" t="s">
        <v>749</v>
      </c>
      <c r="E63">
        <v>1</v>
      </c>
      <c r="F63">
        <v>52.747438893803</v>
      </c>
      <c r="G63">
        <v>29.8792180604622</v>
      </c>
      <c r="H63">
        <v>27.3683984340291</v>
      </c>
      <c r="I63">
        <v>9.6876661626835201</v>
      </c>
      <c r="J63">
        <v>419.60372162630102</v>
      </c>
      <c r="K63">
        <v>63.215162339838201</v>
      </c>
      <c r="L63">
        <v>19.557408588585101</v>
      </c>
      <c r="M63">
        <v>20.604805317749602</v>
      </c>
      <c r="N63">
        <v>10.303389166269101</v>
      </c>
      <c r="O63">
        <v>271.05716591354502</v>
      </c>
      <c r="P63">
        <v>0.12570774798985199</v>
      </c>
      <c r="Q63">
        <v>7.1208181721211197E-2</v>
      </c>
      <c r="R63">
        <v>6.5224393930431696E-2</v>
      </c>
      <c r="S63">
        <v>2.3087655479165099E-2</v>
      </c>
      <c r="T63">
        <v>0.233217085874797</v>
      </c>
      <c r="U63">
        <v>7.2152339240582994E-2</v>
      </c>
      <c r="V63">
        <v>7.6016456706854404E-2</v>
      </c>
      <c r="W63">
        <v>3.8011867834386599E-2</v>
      </c>
    </row>
    <row r="64" spans="1:23">
      <c r="A64">
        <v>22</v>
      </c>
      <c r="B64">
        <v>65</v>
      </c>
      <c r="C64">
        <v>65</v>
      </c>
      <c r="D64" t="s">
        <v>751</v>
      </c>
      <c r="E64">
        <v>1</v>
      </c>
      <c r="F64">
        <v>52.471105137708598</v>
      </c>
      <c r="G64">
        <v>9.1831164598586597</v>
      </c>
      <c r="H64">
        <v>3.5673392751814799</v>
      </c>
      <c r="I64">
        <v>2.2604202906708601</v>
      </c>
      <c r="J64">
        <v>281.31950436790697</v>
      </c>
      <c r="K64">
        <v>54.272641726852598</v>
      </c>
      <c r="L64">
        <v>15.1094745921502</v>
      </c>
      <c r="M64">
        <v>5.2565264186154197</v>
      </c>
      <c r="N64">
        <v>4.1036895492110199</v>
      </c>
      <c r="O64">
        <v>321.27914799018998</v>
      </c>
      <c r="P64">
        <v>0.18651783585217499</v>
      </c>
      <c r="Q64">
        <v>3.2643013787799997E-2</v>
      </c>
      <c r="R64">
        <v>1.2680739229926101E-2</v>
      </c>
      <c r="S64">
        <v>8.0350642439448606E-3</v>
      </c>
      <c r="T64">
        <v>0.168926748176355</v>
      </c>
      <c r="U64">
        <v>4.7029116849536597E-2</v>
      </c>
      <c r="V64">
        <v>1.6361243645902399E-2</v>
      </c>
      <c r="W64">
        <v>1.27729719618664E-2</v>
      </c>
    </row>
    <row r="65" spans="1:23">
      <c r="A65">
        <v>79</v>
      </c>
      <c r="B65">
        <v>23</v>
      </c>
      <c r="C65">
        <v>23</v>
      </c>
      <c r="D65" t="s">
        <v>223</v>
      </c>
      <c r="E65">
        <v>3</v>
      </c>
      <c r="F65">
        <v>57.146490792179002</v>
      </c>
      <c r="G65">
        <v>30.8535336129728</v>
      </c>
      <c r="H65">
        <v>11.118985508973401</v>
      </c>
      <c r="I65">
        <v>4.6394191529877098</v>
      </c>
      <c r="J65">
        <v>246.33366872838701</v>
      </c>
      <c r="K65">
        <v>89.192447023845205</v>
      </c>
      <c r="L65">
        <v>41.2606602296582</v>
      </c>
      <c r="M65">
        <v>14.628328051360199</v>
      </c>
      <c r="N65">
        <v>6.3402265271772</v>
      </c>
      <c r="O65">
        <v>379.83041367504501</v>
      </c>
      <c r="P65">
        <v>0.231988144727346</v>
      </c>
      <c r="Q65">
        <v>0.12525098080276101</v>
      </c>
      <c r="R65">
        <v>4.5137904072843203E-2</v>
      </c>
      <c r="S65">
        <v>1.8833881608377501E-2</v>
      </c>
      <c r="T65">
        <v>0.23482176206182301</v>
      </c>
      <c r="U65">
        <v>0.108629163816665</v>
      </c>
      <c r="V65">
        <v>3.85127876144091E-2</v>
      </c>
      <c r="W65">
        <v>1.6692256067207499E-2</v>
      </c>
    </row>
    <row r="66" spans="1:23">
      <c r="A66">
        <v>63</v>
      </c>
      <c r="B66">
        <v>22</v>
      </c>
      <c r="C66">
        <v>22</v>
      </c>
      <c r="D66" t="s">
        <v>753</v>
      </c>
      <c r="E66">
        <v>3</v>
      </c>
      <c r="F66">
        <v>33.2791221461679</v>
      </c>
      <c r="G66">
        <v>11.4381180945438</v>
      </c>
      <c r="H66">
        <v>4.1332815880162803</v>
      </c>
      <c r="I66">
        <v>1.67792420062877</v>
      </c>
      <c r="J66">
        <v>214.11612379032201</v>
      </c>
      <c r="K66">
        <v>53.945396651684099</v>
      </c>
      <c r="L66">
        <v>14.873960382094101</v>
      </c>
      <c r="M66">
        <v>4.1801120087582602</v>
      </c>
      <c r="N66">
        <v>1.9147642985045199</v>
      </c>
      <c r="O66">
        <v>249.496161065341</v>
      </c>
      <c r="P66">
        <v>0.155425577285143</v>
      </c>
      <c r="Q66">
        <v>5.3420162349589302E-2</v>
      </c>
      <c r="R66">
        <v>1.9303924967668001E-2</v>
      </c>
      <c r="S66">
        <v>7.83651492902941E-3</v>
      </c>
      <c r="T66">
        <v>0.216217341466654</v>
      </c>
      <c r="U66">
        <v>5.9615988953829198E-2</v>
      </c>
      <c r="V66">
        <v>1.6754213735831899E-2</v>
      </c>
      <c r="W66">
        <v>7.6745240901845597E-3</v>
      </c>
    </row>
    <row r="67" spans="1:23">
      <c r="A67">
        <v>75</v>
      </c>
      <c r="B67">
        <v>66</v>
      </c>
      <c r="C67">
        <v>66</v>
      </c>
      <c r="D67" t="s">
        <v>218</v>
      </c>
      <c r="E67">
        <v>1</v>
      </c>
      <c r="F67">
        <v>36.896112587445501</v>
      </c>
      <c r="G67">
        <v>12.950745156455</v>
      </c>
      <c r="H67">
        <v>5.2030807201905196</v>
      </c>
      <c r="I67">
        <v>2.0999138716814998</v>
      </c>
      <c r="J67">
        <v>173.44741753155901</v>
      </c>
      <c r="K67">
        <v>46.0113295474018</v>
      </c>
      <c r="L67">
        <v>25.283169040786401</v>
      </c>
      <c r="M67">
        <v>8.5308824356161992</v>
      </c>
      <c r="N67">
        <v>4.0212039512519002</v>
      </c>
      <c r="O67">
        <v>183.96532289879499</v>
      </c>
      <c r="P67">
        <v>0.212722178932022</v>
      </c>
      <c r="Q67">
        <v>7.46666934611383E-2</v>
      </c>
      <c r="R67">
        <v>2.9998029340758601E-2</v>
      </c>
      <c r="S67">
        <v>1.21069192125586E-2</v>
      </c>
      <c r="T67">
        <v>0.25010870974153099</v>
      </c>
      <c r="U67">
        <v>0.13743442863248501</v>
      </c>
      <c r="V67">
        <v>4.6372230924788399E-2</v>
      </c>
      <c r="W67">
        <v>2.1858488805871799E-2</v>
      </c>
    </row>
    <row r="68" spans="1:23">
      <c r="A68">
        <v>72</v>
      </c>
      <c r="B68">
        <v>67</v>
      </c>
      <c r="C68">
        <v>67</v>
      </c>
      <c r="D68" t="s">
        <v>215</v>
      </c>
      <c r="E68">
        <v>1</v>
      </c>
      <c r="F68">
        <v>53.207320322145101</v>
      </c>
      <c r="G68">
        <v>16.2483737203322</v>
      </c>
      <c r="H68">
        <v>5.4897564312501004</v>
      </c>
      <c r="I68">
        <v>2.6268074535560899</v>
      </c>
      <c r="J68">
        <v>242.054288390875</v>
      </c>
      <c r="K68">
        <v>66.374039421417393</v>
      </c>
      <c r="L68">
        <v>22.504420234094699</v>
      </c>
      <c r="M68">
        <v>8.1257142846021608</v>
      </c>
      <c r="N68">
        <v>3.79775282588249</v>
      </c>
      <c r="O68">
        <v>260.55482637252499</v>
      </c>
      <c r="P68">
        <v>0.21981564828227601</v>
      </c>
      <c r="Q68">
        <v>6.7126981423662996E-2</v>
      </c>
      <c r="R68">
        <v>2.2679856108911801E-2</v>
      </c>
      <c r="S68">
        <v>1.08521417695945E-2</v>
      </c>
      <c r="T68">
        <v>0.25474116271605801</v>
      </c>
      <c r="U68">
        <v>8.6371150929744303E-2</v>
      </c>
      <c r="V68">
        <v>3.1186197537498399E-2</v>
      </c>
      <c r="W68">
        <v>1.4575637990496101E-2</v>
      </c>
    </row>
    <row r="69" spans="1:23">
      <c r="A69">
        <v>24</v>
      </c>
      <c r="B69">
        <v>68</v>
      </c>
      <c r="C69">
        <v>68</v>
      </c>
      <c r="D69" t="s">
        <v>758</v>
      </c>
      <c r="E69">
        <v>1</v>
      </c>
      <c r="F69">
        <v>43.797618460723797</v>
      </c>
      <c r="G69">
        <v>10.3614014300605</v>
      </c>
      <c r="H69">
        <v>4.54364583933015</v>
      </c>
      <c r="I69">
        <v>2.3751963507857701</v>
      </c>
      <c r="J69">
        <v>205.662257555823</v>
      </c>
      <c r="K69">
        <v>58.378349757645097</v>
      </c>
      <c r="L69">
        <v>12.1688601535385</v>
      </c>
      <c r="M69">
        <v>4.9415178796770602</v>
      </c>
      <c r="N69">
        <v>2.5542670703936499</v>
      </c>
      <c r="O69">
        <v>217.62989954724301</v>
      </c>
      <c r="P69">
        <v>0.21295895017993599</v>
      </c>
      <c r="Q69">
        <v>5.0380665627226699E-2</v>
      </c>
      <c r="R69">
        <v>2.20927548560866E-2</v>
      </c>
      <c r="S69">
        <v>1.1549014286887699E-2</v>
      </c>
      <c r="T69">
        <v>0.26824599873039101</v>
      </c>
      <c r="U69">
        <v>5.5915387448390703E-2</v>
      </c>
      <c r="V69">
        <v>2.2706061483083802E-2</v>
      </c>
      <c r="W69">
        <v>1.17367469989534E-2</v>
      </c>
    </row>
    <row r="70" spans="1:23">
      <c r="B70">
        <v>79</v>
      </c>
      <c r="C70">
        <v>80</v>
      </c>
      <c r="D70" t="s">
        <v>513</v>
      </c>
      <c r="E70">
        <v>2</v>
      </c>
      <c r="F70">
        <v>36.816023940561401</v>
      </c>
      <c r="G70">
        <v>10.0102188538651</v>
      </c>
      <c r="H70">
        <v>3.92047654850079</v>
      </c>
      <c r="I70">
        <v>1.66358895926078</v>
      </c>
      <c r="J70">
        <v>249.04278017182099</v>
      </c>
      <c r="K70">
        <v>51.115883820771799</v>
      </c>
      <c r="L70">
        <v>13.405270919904501</v>
      </c>
      <c r="M70">
        <v>5.9345301273106603</v>
      </c>
      <c r="N70">
        <v>3.2553676884942599</v>
      </c>
      <c r="O70">
        <v>337.68698448433997</v>
      </c>
      <c r="P70">
        <v>0.147830119448398</v>
      </c>
      <c r="Q70">
        <v>4.0194776363156597E-2</v>
      </c>
      <c r="R70">
        <v>1.5742181105575299E-2</v>
      </c>
      <c r="S70">
        <v>6.6799324923735104E-3</v>
      </c>
      <c r="T70">
        <v>0.15137060701000199</v>
      </c>
      <c r="U70">
        <v>3.9697327808990802E-2</v>
      </c>
      <c r="V70">
        <v>1.7574056448675102E-2</v>
      </c>
      <c r="W70">
        <v>9.6401929540320206E-3</v>
      </c>
    </row>
    <row r="71" spans="1:23">
      <c r="A71">
        <v>6</v>
      </c>
      <c r="B71">
        <v>24</v>
      </c>
      <c r="C71">
        <v>24</v>
      </c>
      <c r="D71" t="s">
        <v>761</v>
      </c>
      <c r="E71">
        <v>3</v>
      </c>
      <c r="F71">
        <v>36.085898577667798</v>
      </c>
      <c r="G71">
        <v>11.223818673516099</v>
      </c>
      <c r="H71">
        <v>4.7650969302090704</v>
      </c>
      <c r="I71">
        <v>2.3296734591513899</v>
      </c>
      <c r="J71">
        <v>185.26242582605599</v>
      </c>
      <c r="K71">
        <v>84.7586013769739</v>
      </c>
      <c r="L71">
        <v>15.0313568473728</v>
      </c>
      <c r="M71">
        <v>6.2866919351335202</v>
      </c>
      <c r="N71">
        <v>4.3799380965868897</v>
      </c>
      <c r="O71">
        <v>383.02248245811199</v>
      </c>
      <c r="P71">
        <v>0.19478260859840599</v>
      </c>
      <c r="Q71">
        <v>6.05833515537266E-2</v>
      </c>
      <c r="R71">
        <v>2.5720795293283302E-2</v>
      </c>
      <c r="S71">
        <v>1.2574991657178999E-2</v>
      </c>
      <c r="T71">
        <v>0.221288841409572</v>
      </c>
      <c r="U71">
        <v>3.9244058862828397E-2</v>
      </c>
      <c r="V71">
        <v>1.64133757757184E-2</v>
      </c>
      <c r="W71">
        <v>1.14351984470412E-2</v>
      </c>
    </row>
    <row r="72" spans="1:23">
      <c r="A72">
        <v>46</v>
      </c>
      <c r="B72">
        <v>25</v>
      </c>
      <c r="C72">
        <v>25</v>
      </c>
      <c r="D72" t="s">
        <v>763</v>
      </c>
      <c r="E72">
        <v>3</v>
      </c>
      <c r="F72">
        <v>53.507619074257398</v>
      </c>
      <c r="G72">
        <v>15.4403288040477</v>
      </c>
      <c r="H72">
        <v>5.8251071164703001</v>
      </c>
      <c r="I72">
        <v>2.75792568604014</v>
      </c>
      <c r="J72">
        <v>252.127583175588</v>
      </c>
      <c r="K72">
        <v>57.761580605389298</v>
      </c>
      <c r="L72">
        <v>18.768210748521899</v>
      </c>
      <c r="M72">
        <v>7.17127617045346</v>
      </c>
      <c r="N72">
        <v>4.0155775848388098</v>
      </c>
      <c r="O72">
        <v>332.49012754264101</v>
      </c>
      <c r="P72">
        <v>0.212224376247614</v>
      </c>
      <c r="Q72">
        <v>6.1240141239503498E-2</v>
      </c>
      <c r="R72">
        <v>2.3103807378399999E-2</v>
      </c>
      <c r="S72">
        <v>1.0938611520816601E-2</v>
      </c>
      <c r="T72">
        <v>0.17372419756427701</v>
      </c>
      <c r="U72">
        <v>5.6447422626450701E-2</v>
      </c>
      <c r="V72">
        <v>2.15683882810438E-2</v>
      </c>
      <c r="W72">
        <v>1.2077283661073E-2</v>
      </c>
    </row>
    <row r="73" spans="1:23">
      <c r="B73">
        <v>80</v>
      </c>
      <c r="C73">
        <v>81</v>
      </c>
      <c r="D73" t="s">
        <v>769</v>
      </c>
      <c r="E73">
        <v>1</v>
      </c>
      <c r="F73">
        <v>59.040643161810898</v>
      </c>
      <c r="G73">
        <v>11.131333443493</v>
      </c>
      <c r="H73">
        <v>4.4350580404234403</v>
      </c>
      <c r="I73">
        <v>3.0421844951292401</v>
      </c>
      <c r="J73">
        <v>301.693696240203</v>
      </c>
      <c r="K73">
        <v>73.238425398140194</v>
      </c>
      <c r="L73">
        <v>13.322935624821399</v>
      </c>
      <c r="M73">
        <v>4.5181936930843198</v>
      </c>
      <c r="N73">
        <v>2.7980495404151999</v>
      </c>
      <c r="O73">
        <v>337.61429756034102</v>
      </c>
      <c r="P73">
        <v>0.19569730457610801</v>
      </c>
      <c r="Q73">
        <v>3.6896141955284401E-2</v>
      </c>
      <c r="R73">
        <v>1.4700532678323899E-2</v>
      </c>
      <c r="S73">
        <v>1.00836859803233E-2</v>
      </c>
      <c r="T73">
        <v>0.21692927677344701</v>
      </c>
      <c r="U73">
        <v>3.9462000635326198E-2</v>
      </c>
      <c r="V73">
        <v>1.33827083915982E-2</v>
      </c>
      <c r="W73">
        <v>8.2877104454236305E-3</v>
      </c>
    </row>
    <row r="74" spans="1:23">
      <c r="A74">
        <v>14</v>
      </c>
      <c r="B74">
        <v>69</v>
      </c>
      <c r="C74">
        <v>69</v>
      </c>
      <c r="D74" t="s">
        <v>767</v>
      </c>
      <c r="E74">
        <v>2</v>
      </c>
      <c r="F74">
        <v>16.877568922867098</v>
      </c>
      <c r="G74">
        <v>3.1860168878600201</v>
      </c>
      <c r="H74">
        <v>1.4819488059169501</v>
      </c>
      <c r="I74">
        <v>0.81848017274573504</v>
      </c>
      <c r="J74">
        <v>88.598186488495003</v>
      </c>
      <c r="K74">
        <v>28.049466448214201</v>
      </c>
      <c r="L74">
        <v>5.2935432445035904</v>
      </c>
      <c r="M74">
        <v>2.3917618801025999</v>
      </c>
      <c r="N74">
        <v>1.5902383554178301</v>
      </c>
      <c r="O74">
        <v>140.361560721084</v>
      </c>
      <c r="P74">
        <v>0.19049564773042801</v>
      </c>
      <c r="Q74">
        <v>3.5960294607991099E-2</v>
      </c>
      <c r="R74">
        <v>1.6726626860577899E-2</v>
      </c>
      <c r="S74">
        <v>9.2381142908835798E-3</v>
      </c>
      <c r="T74">
        <v>0.199837236805538</v>
      </c>
      <c r="U74">
        <v>3.7713624850770303E-2</v>
      </c>
      <c r="V74">
        <v>1.7040006308104001E-2</v>
      </c>
      <c r="W74">
        <v>1.1329585872715001E-2</v>
      </c>
    </row>
    <row r="75" spans="1:23">
      <c r="A75">
        <v>53</v>
      </c>
      <c r="B75">
        <v>26</v>
      </c>
      <c r="C75">
        <v>26</v>
      </c>
      <c r="D75" t="s">
        <v>765</v>
      </c>
      <c r="E75">
        <v>3</v>
      </c>
      <c r="F75">
        <v>42.207971640624201</v>
      </c>
      <c r="G75">
        <v>10.787870569401999</v>
      </c>
      <c r="H75">
        <v>3.0746660865396702</v>
      </c>
      <c r="I75">
        <v>1.0717222026366999</v>
      </c>
      <c r="J75">
        <v>136.728304170462</v>
      </c>
      <c r="K75">
        <v>23.291662504441401</v>
      </c>
      <c r="L75">
        <v>5.4604824620704404</v>
      </c>
      <c r="M75">
        <v>2.0862232839008601</v>
      </c>
      <c r="N75">
        <v>1.0066603250808399</v>
      </c>
      <c r="O75">
        <v>172.14173901968999</v>
      </c>
      <c r="P75">
        <v>0.30869959147597198</v>
      </c>
      <c r="Q75">
        <v>7.8900053905097203E-2</v>
      </c>
      <c r="R75">
        <v>2.2487414768974399E-2</v>
      </c>
      <c r="S75">
        <v>7.8383346384561601E-3</v>
      </c>
      <c r="T75">
        <v>0.135305142361651</v>
      </c>
      <c r="U75">
        <v>3.1720851044997597E-2</v>
      </c>
      <c r="V75">
        <v>1.2119218126768401E-2</v>
      </c>
      <c r="W75">
        <v>5.84785729953441E-3</v>
      </c>
    </row>
    <row r="76" spans="1:23">
      <c r="A76">
        <v>45</v>
      </c>
      <c r="B76">
        <v>70</v>
      </c>
      <c r="C76">
        <v>70</v>
      </c>
      <c r="D76" t="s">
        <v>771</v>
      </c>
      <c r="E76">
        <v>1</v>
      </c>
      <c r="F76">
        <v>49.848268481634101</v>
      </c>
      <c r="G76">
        <v>15.9404726560788</v>
      </c>
      <c r="H76">
        <v>6.5225055624683002</v>
      </c>
      <c r="I76">
        <v>1.92726015944042</v>
      </c>
      <c r="J76">
        <v>201.335107298472</v>
      </c>
      <c r="K76">
        <v>53.100236013590496</v>
      </c>
      <c r="L76">
        <v>13.783327376622401</v>
      </c>
      <c r="M76">
        <v>5.0851614130320897</v>
      </c>
      <c r="N76">
        <v>2.09498339611822</v>
      </c>
      <c r="O76">
        <v>206.47655663930399</v>
      </c>
      <c r="P76">
        <v>0.24758855596771701</v>
      </c>
      <c r="Q76">
        <v>7.9173835452589797E-2</v>
      </c>
      <c r="R76">
        <v>3.23962653607099E-2</v>
      </c>
      <c r="S76">
        <v>9.5723998924009193E-3</v>
      </c>
      <c r="T76">
        <v>0.25717319621109302</v>
      </c>
      <c r="U76">
        <v>6.6754926568737105E-2</v>
      </c>
      <c r="V76">
        <v>2.4628274976105001E-2</v>
      </c>
      <c r="W76">
        <v>1.01463499305539E-2</v>
      </c>
    </row>
    <row r="77" spans="1:23">
      <c r="A77">
        <v>55</v>
      </c>
      <c r="B77">
        <v>71</v>
      </c>
      <c r="C77">
        <v>71</v>
      </c>
      <c r="D77" t="s">
        <v>4</v>
      </c>
      <c r="E77">
        <v>1</v>
      </c>
      <c r="F77">
        <v>39.138357001326497</v>
      </c>
      <c r="G77">
        <v>10.2015239190833</v>
      </c>
      <c r="H77">
        <v>4.2373008729131696</v>
      </c>
      <c r="I77">
        <v>2.1073969719910099</v>
      </c>
      <c r="J77">
        <v>228.74611458835901</v>
      </c>
      <c r="K77">
        <v>40.0193634970368</v>
      </c>
      <c r="L77">
        <v>10.482559629162401</v>
      </c>
      <c r="M77">
        <v>4.6030200114950697</v>
      </c>
      <c r="N77">
        <v>2.88923883789333</v>
      </c>
      <c r="O77">
        <v>165.51142656694199</v>
      </c>
      <c r="P77">
        <v>0.171099548824067</v>
      </c>
      <c r="Q77">
        <v>4.4597583383837902E-2</v>
      </c>
      <c r="R77">
        <v>1.8524034301253298E-2</v>
      </c>
      <c r="S77">
        <v>9.2128208419338196E-3</v>
      </c>
      <c r="T77">
        <v>0.24179214889946399</v>
      </c>
      <c r="U77">
        <v>6.3334356102131006E-2</v>
      </c>
      <c r="V77">
        <v>2.78108895982076E-2</v>
      </c>
      <c r="W77">
        <v>1.7456431243584002E-2</v>
      </c>
    </row>
    <row r="78" spans="1:23">
      <c r="A78">
        <v>31</v>
      </c>
      <c r="B78">
        <v>27</v>
      </c>
      <c r="C78">
        <v>27</v>
      </c>
      <c r="D78" t="s">
        <v>774</v>
      </c>
      <c r="E78">
        <v>3</v>
      </c>
      <c r="F78">
        <v>39.836240225587296</v>
      </c>
      <c r="G78">
        <v>14.150482752907701</v>
      </c>
      <c r="H78">
        <v>5.7086603198354204</v>
      </c>
      <c r="I78">
        <v>2.6913902304769799</v>
      </c>
      <c r="J78">
        <v>181.998733791414</v>
      </c>
      <c r="K78">
        <v>81.666296054271498</v>
      </c>
      <c r="L78">
        <v>24.5494503169657</v>
      </c>
      <c r="M78">
        <v>8.0392543759614892</v>
      </c>
      <c r="N78">
        <v>4.5801650308533199</v>
      </c>
      <c r="O78">
        <v>415.27281204720799</v>
      </c>
      <c r="P78">
        <v>0.218881963603346</v>
      </c>
      <c r="Q78">
        <v>7.7750446160385706E-2</v>
      </c>
      <c r="R78">
        <v>3.1366483716189102E-2</v>
      </c>
      <c r="S78">
        <v>1.4787961291871101E-2</v>
      </c>
      <c r="T78">
        <v>0.19665697749793401</v>
      </c>
      <c r="U78">
        <v>5.9116440096191297E-2</v>
      </c>
      <c r="V78">
        <v>1.9358971121489099E-2</v>
      </c>
      <c r="W78">
        <v>1.10292918245094E-2</v>
      </c>
    </row>
    <row r="79" spans="1:23">
      <c r="A79">
        <v>42</v>
      </c>
      <c r="B79">
        <v>28</v>
      </c>
      <c r="C79">
        <v>28</v>
      </c>
      <c r="D79" t="s">
        <v>776</v>
      </c>
      <c r="E79">
        <v>3</v>
      </c>
      <c r="F79">
        <v>36.500168709703402</v>
      </c>
      <c r="G79">
        <v>8.1812016801560397</v>
      </c>
      <c r="H79">
        <v>2.9220596035093598</v>
      </c>
      <c r="I79">
        <v>1.79720205953423</v>
      </c>
      <c r="J79">
        <v>187.15324494126301</v>
      </c>
      <c r="K79">
        <v>56.337745085956897</v>
      </c>
      <c r="L79">
        <v>8.9531991168706906</v>
      </c>
      <c r="M79">
        <v>3.5011389711290799</v>
      </c>
      <c r="N79">
        <v>2.6105077598916</v>
      </c>
      <c r="O79">
        <v>235.141113802533</v>
      </c>
      <c r="P79">
        <v>0.19502824394606999</v>
      </c>
      <c r="Q79">
        <v>4.3713918413349699E-2</v>
      </c>
      <c r="R79">
        <v>1.56131923035928E-2</v>
      </c>
      <c r="S79">
        <v>9.60283675604056E-3</v>
      </c>
      <c r="T79">
        <v>0.23959121471742401</v>
      </c>
      <c r="U79">
        <v>3.8075855693995797E-2</v>
      </c>
      <c r="V79">
        <v>1.4889522782771499E-2</v>
      </c>
      <c r="W79">
        <v>1.11018771565565E-2</v>
      </c>
    </row>
    <row r="80" spans="1:23">
      <c r="A80">
        <v>43</v>
      </c>
      <c r="B80">
        <v>29</v>
      </c>
      <c r="C80">
        <v>29</v>
      </c>
      <c r="D80" t="s">
        <v>778</v>
      </c>
      <c r="E80">
        <v>3</v>
      </c>
      <c r="F80">
        <v>31.006709288228599</v>
      </c>
      <c r="G80">
        <v>7.0371036250188501</v>
      </c>
      <c r="H80">
        <v>3.1026266648872198</v>
      </c>
      <c r="I80">
        <v>1.8621944367763501</v>
      </c>
      <c r="J80">
        <v>138.48935839823599</v>
      </c>
      <c r="K80">
        <v>37.541280694323603</v>
      </c>
      <c r="L80">
        <v>7.5255654839804897</v>
      </c>
      <c r="M80">
        <v>2.9219291530248701</v>
      </c>
      <c r="N80">
        <v>2.22120413197755</v>
      </c>
      <c r="O80">
        <v>164.47794730073699</v>
      </c>
      <c r="P80">
        <v>0.22389236001127599</v>
      </c>
      <c r="Q80">
        <v>5.0813316679416902E-2</v>
      </c>
      <c r="R80">
        <v>2.2403357924190799E-2</v>
      </c>
      <c r="S80">
        <v>1.34464803528187E-2</v>
      </c>
      <c r="T80">
        <v>0.228245070603184</v>
      </c>
      <c r="U80">
        <v>4.5754252211212799E-2</v>
      </c>
      <c r="V80">
        <v>1.7764868792302699E-2</v>
      </c>
      <c r="W80">
        <v>1.35045710894982E-2</v>
      </c>
    </row>
    <row r="81" spans="1:23">
      <c r="B81">
        <v>81</v>
      </c>
      <c r="C81">
        <v>82</v>
      </c>
      <c r="D81" t="s">
        <v>780</v>
      </c>
      <c r="E81">
        <v>2</v>
      </c>
      <c r="F81">
        <v>29.683080049913698</v>
      </c>
      <c r="G81">
        <v>12.006403706216799</v>
      </c>
      <c r="H81">
        <v>5.1623536869579496</v>
      </c>
      <c r="I81">
        <v>2.5356605869046902</v>
      </c>
      <c r="J81">
        <v>129.27956697584901</v>
      </c>
      <c r="K81">
        <v>62.006926077077502</v>
      </c>
      <c r="L81">
        <v>13.934621586959899</v>
      </c>
      <c r="M81">
        <v>5.6175883710472299</v>
      </c>
      <c r="N81">
        <v>3.3308249035492099</v>
      </c>
      <c r="O81">
        <v>298.608082898558</v>
      </c>
      <c r="P81">
        <v>0.22960380162364599</v>
      </c>
      <c r="Q81">
        <v>9.2871626870932894E-2</v>
      </c>
      <c r="R81">
        <v>3.9931706206305102E-2</v>
      </c>
      <c r="S81">
        <v>1.9613776919429102E-2</v>
      </c>
      <c r="T81">
        <v>0.20765320709065399</v>
      </c>
      <c r="U81">
        <v>4.6665252499858603E-2</v>
      </c>
      <c r="V81">
        <v>1.8812579741706501E-2</v>
      </c>
      <c r="W81">
        <v>1.11545034923946E-2</v>
      </c>
    </row>
    <row r="82" spans="1:23">
      <c r="A82">
        <v>54</v>
      </c>
      <c r="B82">
        <v>30</v>
      </c>
      <c r="C82">
        <v>30</v>
      </c>
      <c r="D82" t="s">
        <v>782</v>
      </c>
      <c r="E82">
        <v>3</v>
      </c>
      <c r="F82">
        <v>58.4413805007744</v>
      </c>
      <c r="G82">
        <v>12.1813139944702</v>
      </c>
      <c r="H82">
        <v>4.22636589060623</v>
      </c>
      <c r="I82">
        <v>2.09258683539983</v>
      </c>
      <c r="J82">
        <v>281.06568197708401</v>
      </c>
      <c r="K82">
        <v>65.943463927245801</v>
      </c>
      <c r="L82">
        <v>19.457385331773299</v>
      </c>
      <c r="M82">
        <v>7.28177128801652</v>
      </c>
      <c r="N82">
        <v>4.1707671112143903</v>
      </c>
      <c r="O82">
        <v>290.82622835975002</v>
      </c>
      <c r="P82">
        <v>0.207927841242245</v>
      </c>
      <c r="Q82">
        <v>4.33397414753161E-2</v>
      </c>
      <c r="R82">
        <v>1.50369332210071E-2</v>
      </c>
      <c r="S82">
        <v>7.4451879741421001E-3</v>
      </c>
      <c r="T82">
        <v>0.22674524336805699</v>
      </c>
      <c r="U82">
        <v>6.6903818962657902E-2</v>
      </c>
      <c r="V82">
        <v>2.50382206896725E-2</v>
      </c>
      <c r="W82">
        <v>1.4341096863021501E-2</v>
      </c>
    </row>
    <row r="83" spans="1:23">
      <c r="B83">
        <v>82</v>
      </c>
      <c r="C83">
        <v>83</v>
      </c>
      <c r="D83" t="s">
        <v>784</v>
      </c>
      <c r="E83">
        <v>1</v>
      </c>
      <c r="F83">
        <v>59.290430975472802</v>
      </c>
      <c r="G83">
        <v>10.4140787417093</v>
      </c>
      <c r="H83">
        <v>3.8619136001162602</v>
      </c>
      <c r="I83">
        <v>1.9700750634481901</v>
      </c>
      <c r="J83">
        <v>356.62564368656899</v>
      </c>
      <c r="K83">
        <v>81.267921813650005</v>
      </c>
      <c r="L83">
        <v>12.123020057230301</v>
      </c>
      <c r="M83">
        <v>3.2827869274008799</v>
      </c>
      <c r="N83">
        <v>2.0534646565207901</v>
      </c>
      <c r="O83">
        <v>367.40763240897098</v>
      </c>
      <c r="P83">
        <v>0.166253975352322</v>
      </c>
      <c r="Q83">
        <v>2.9201710325861999E-2</v>
      </c>
      <c r="R83">
        <v>1.08290406718772E-2</v>
      </c>
      <c r="S83">
        <v>5.5242103262199702E-3</v>
      </c>
      <c r="T83">
        <v>0.22119279689646901</v>
      </c>
      <c r="U83">
        <v>3.2996102932711699E-2</v>
      </c>
      <c r="V83">
        <v>8.9349992700933495E-3</v>
      </c>
      <c r="W83">
        <v>5.5890636867201096E-3</v>
      </c>
    </row>
    <row r="84" spans="1:23">
      <c r="B84">
        <v>83</v>
      </c>
      <c r="C84">
        <v>84</v>
      </c>
      <c r="D84" t="s">
        <v>786</v>
      </c>
      <c r="E84">
        <v>2</v>
      </c>
      <c r="F84">
        <v>25.234024680840601</v>
      </c>
      <c r="G84">
        <v>7.4640126623781198</v>
      </c>
      <c r="H84">
        <v>3.3845592006289502</v>
      </c>
      <c r="I84">
        <v>2.8122691600804801</v>
      </c>
      <c r="J84">
        <v>130.24515802347199</v>
      </c>
      <c r="K84">
        <v>28.269524943953598</v>
      </c>
      <c r="L84">
        <v>8.1185308741656694</v>
      </c>
      <c r="M84">
        <v>3.3545294113613999</v>
      </c>
      <c r="N84">
        <v>2.32768386729885</v>
      </c>
      <c r="O84">
        <v>145.49667821173199</v>
      </c>
      <c r="P84">
        <v>0.19374251652635799</v>
      </c>
      <c r="Q84">
        <v>5.7307409930993397E-2</v>
      </c>
      <c r="R84">
        <v>2.5986065447584701E-2</v>
      </c>
      <c r="S84">
        <v>2.1592120603621E-2</v>
      </c>
      <c r="T84">
        <v>0.19429670348085101</v>
      </c>
      <c r="U84">
        <v>5.5798736946772898E-2</v>
      </c>
      <c r="V84">
        <v>2.30557113233869E-2</v>
      </c>
      <c r="W84">
        <v>1.5998192507952199E-2</v>
      </c>
    </row>
  </sheetData>
  <sortState xmlns:xlrd2="http://schemas.microsoft.com/office/spreadsheetml/2017/richdata2" ref="A2:W84">
    <sortCondition ref="D2:D84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4913-3334-42D5-A76F-36F186F07751}">
  <dimension ref="A1:W84"/>
  <sheetViews>
    <sheetView workbookViewId="0">
      <selection activeCell="W84" sqref="F2:W84"/>
    </sheetView>
  </sheetViews>
  <sheetFormatPr defaultRowHeight="14"/>
  <sheetData>
    <row r="1" spans="1:23">
      <c r="A1" t="s">
        <v>814</v>
      </c>
      <c r="B1" t="s">
        <v>815</v>
      </c>
      <c r="C1" t="s">
        <v>816</v>
      </c>
      <c r="D1" t="s">
        <v>817</v>
      </c>
      <c r="E1" t="s">
        <v>818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633</v>
      </c>
      <c r="S1" t="s">
        <v>634</v>
      </c>
      <c r="T1" t="s">
        <v>635</v>
      </c>
      <c r="U1" t="s">
        <v>636</v>
      </c>
      <c r="V1" t="s">
        <v>637</v>
      </c>
      <c r="W1" t="s">
        <v>638</v>
      </c>
    </row>
    <row r="2" spans="1:23">
      <c r="A2">
        <v>67</v>
      </c>
      <c r="B2">
        <v>1</v>
      </c>
      <c r="C2">
        <v>1</v>
      </c>
      <c r="D2" t="s">
        <v>641</v>
      </c>
      <c r="E2">
        <v>3</v>
      </c>
      <c r="F2">
        <v>26.827656220356999</v>
      </c>
      <c r="G2">
        <v>8.4714792607361193</v>
      </c>
      <c r="H2">
        <v>4.3413417584843801</v>
      </c>
      <c r="I2">
        <v>2.2788149551813501</v>
      </c>
      <c r="J2">
        <v>113.806455176019</v>
      </c>
      <c r="K2">
        <v>80.594093030323705</v>
      </c>
      <c r="L2">
        <v>14.282409784209699</v>
      </c>
      <c r="M2">
        <v>6.5178576295255102</v>
      </c>
      <c r="N2">
        <v>4.6155645278062298</v>
      </c>
      <c r="O2">
        <v>333.83383392500798</v>
      </c>
      <c r="P2">
        <v>0.235730531970826</v>
      </c>
      <c r="Q2">
        <v>7.4437598883417097E-2</v>
      </c>
      <c r="R2">
        <v>3.8146709268554402E-2</v>
      </c>
      <c r="S2">
        <v>2.0023600169751399E-2</v>
      </c>
      <c r="T2">
        <v>0.241419786852486</v>
      </c>
      <c r="U2">
        <v>4.27829906162778E-2</v>
      </c>
      <c r="V2">
        <v>1.9524257181762102E-2</v>
      </c>
      <c r="W2">
        <v>1.38259339190978E-2</v>
      </c>
    </row>
    <row r="3" spans="1:23">
      <c r="A3">
        <v>80</v>
      </c>
      <c r="B3">
        <v>2</v>
      </c>
      <c r="C3">
        <v>2</v>
      </c>
      <c r="D3" t="s">
        <v>643</v>
      </c>
      <c r="E3">
        <v>3</v>
      </c>
      <c r="F3">
        <v>51.128674159498097</v>
      </c>
      <c r="G3">
        <v>10.3500843979143</v>
      </c>
      <c r="H3">
        <v>4.0831745383528402</v>
      </c>
      <c r="I3">
        <v>2.15646507477007</v>
      </c>
      <c r="J3">
        <v>250.61029980274299</v>
      </c>
      <c r="K3">
        <v>45.681741978953603</v>
      </c>
      <c r="L3">
        <v>7.6466218881466004</v>
      </c>
      <c r="M3">
        <v>2.5317594953023099</v>
      </c>
      <c r="N3">
        <v>1.57659318000386</v>
      </c>
      <c r="O3">
        <v>214.87910095597499</v>
      </c>
      <c r="P3">
        <v>0.20401665134969299</v>
      </c>
      <c r="Q3">
        <v>4.1299517242750598E-2</v>
      </c>
      <c r="R3">
        <v>1.6292923880489901E-2</v>
      </c>
      <c r="S3">
        <v>8.6048541359530495E-3</v>
      </c>
      <c r="T3">
        <v>0.212592763911057</v>
      </c>
      <c r="U3">
        <v>3.5585693788402803E-2</v>
      </c>
      <c r="V3">
        <v>1.1782250968283E-2</v>
      </c>
      <c r="W3">
        <v>7.3371173510581797E-3</v>
      </c>
    </row>
    <row r="4" spans="1:23">
      <c r="A4">
        <v>3</v>
      </c>
      <c r="B4">
        <v>31</v>
      </c>
      <c r="C4">
        <v>31</v>
      </c>
      <c r="D4" t="s">
        <v>819</v>
      </c>
      <c r="E4">
        <v>2</v>
      </c>
      <c r="F4">
        <v>45.5803645253689</v>
      </c>
      <c r="G4">
        <v>32.755590837999598</v>
      </c>
      <c r="H4">
        <v>12.313018647952999</v>
      </c>
      <c r="I4">
        <v>6.2257332767710896</v>
      </c>
      <c r="J4">
        <v>211.01394840972699</v>
      </c>
      <c r="K4">
        <v>63.966747366107498</v>
      </c>
      <c r="L4">
        <v>37.500803942988398</v>
      </c>
      <c r="M4">
        <v>13.968198947921801</v>
      </c>
      <c r="N4">
        <v>7.4658039788532902</v>
      </c>
      <c r="O4">
        <v>261.54029038260398</v>
      </c>
      <c r="P4">
        <v>0.216006405590143</v>
      </c>
      <c r="Q4">
        <v>0.15522950537088601</v>
      </c>
      <c r="R4">
        <v>5.8351681207560298E-2</v>
      </c>
      <c r="S4">
        <v>2.9503894523041502E-2</v>
      </c>
      <c r="T4">
        <v>0.24457702969026801</v>
      </c>
      <c r="U4">
        <v>0.14338442420526801</v>
      </c>
      <c r="V4">
        <v>5.3407446047749899E-2</v>
      </c>
      <c r="W4">
        <v>2.8545521487078101E-2</v>
      </c>
    </row>
    <row r="5" spans="1:23">
      <c r="A5">
        <v>9</v>
      </c>
      <c r="B5">
        <v>43</v>
      </c>
      <c r="C5">
        <v>43</v>
      </c>
      <c r="D5" t="s">
        <v>213</v>
      </c>
      <c r="E5">
        <v>1</v>
      </c>
      <c r="F5">
        <v>19.171477023790999</v>
      </c>
      <c r="G5">
        <v>13.4962985849057</v>
      </c>
      <c r="H5">
        <v>4.7038136633413199</v>
      </c>
      <c r="I5">
        <v>2.1915897229220098</v>
      </c>
      <c r="J5">
        <v>95.658138716474298</v>
      </c>
      <c r="K5">
        <v>21.127145976676498</v>
      </c>
      <c r="L5">
        <v>11.233946334245401</v>
      </c>
      <c r="M5">
        <v>4.0058686467764</v>
      </c>
      <c r="N5">
        <v>2.0047406584201402</v>
      </c>
      <c r="O5">
        <v>95.561840634174402</v>
      </c>
      <c r="P5">
        <v>0.200416580136628</v>
      </c>
      <c r="Q5">
        <v>0.14108886881970401</v>
      </c>
      <c r="R5">
        <v>4.9173167348396503E-2</v>
      </c>
      <c r="S5">
        <v>2.2910645683978499E-2</v>
      </c>
      <c r="T5">
        <v>0.22108349772745101</v>
      </c>
      <c r="U5">
        <v>0.117556822469031</v>
      </c>
      <c r="V5">
        <v>4.1919123995439601E-2</v>
      </c>
      <c r="W5">
        <v>2.0978464260589101E-2</v>
      </c>
    </row>
    <row r="6" spans="1:23">
      <c r="A6">
        <v>81</v>
      </c>
      <c r="B6">
        <v>3</v>
      </c>
      <c r="C6">
        <v>3</v>
      </c>
      <c r="D6" t="s">
        <v>649</v>
      </c>
      <c r="E6">
        <v>3</v>
      </c>
      <c r="F6">
        <v>47.713919879022299</v>
      </c>
      <c r="G6">
        <v>13.344499502642201</v>
      </c>
      <c r="H6">
        <v>6.25202470167567</v>
      </c>
      <c r="I6">
        <v>4.7593634614450302</v>
      </c>
      <c r="J6">
        <v>232.26291611593399</v>
      </c>
      <c r="K6">
        <v>25.680195574545301</v>
      </c>
      <c r="L6">
        <v>10.8762047744827</v>
      </c>
      <c r="M6">
        <v>5.2476511034111297</v>
      </c>
      <c r="N6">
        <v>3.5623878917745002</v>
      </c>
      <c r="O6">
        <v>128.65350529066399</v>
      </c>
      <c r="P6">
        <v>0.20543064160619601</v>
      </c>
      <c r="Q6">
        <v>5.7454283816798797E-2</v>
      </c>
      <c r="R6">
        <v>2.69178774047381E-2</v>
      </c>
      <c r="S6">
        <v>2.0491275753506E-2</v>
      </c>
      <c r="T6">
        <v>0.19960743017865401</v>
      </c>
      <c r="U6">
        <v>8.4538736429375705E-2</v>
      </c>
      <c r="V6">
        <v>4.0789025464601503E-2</v>
      </c>
      <c r="W6">
        <v>2.7689784928331899E-2</v>
      </c>
    </row>
    <row r="7" spans="1:23">
      <c r="A7">
        <v>28</v>
      </c>
      <c r="B7">
        <v>44</v>
      </c>
      <c r="C7">
        <v>44</v>
      </c>
      <c r="D7" t="s">
        <v>651</v>
      </c>
      <c r="E7">
        <v>1</v>
      </c>
      <c r="F7">
        <v>86.392829734621202</v>
      </c>
      <c r="G7">
        <v>53.534528277178502</v>
      </c>
      <c r="H7">
        <v>19.930533988424799</v>
      </c>
      <c r="I7">
        <v>8.0859654609684295</v>
      </c>
      <c r="J7">
        <v>355.41118412643402</v>
      </c>
      <c r="K7">
        <v>101.40482924637899</v>
      </c>
      <c r="L7">
        <v>58.344890262861</v>
      </c>
      <c r="M7">
        <v>20.447122112009598</v>
      </c>
      <c r="N7">
        <v>10.138433911425899</v>
      </c>
      <c r="O7">
        <v>464.74284269597803</v>
      </c>
      <c r="P7">
        <v>0.24307853436567101</v>
      </c>
      <c r="Q7">
        <v>0.150627022075181</v>
      </c>
      <c r="R7">
        <v>5.6077396769075E-2</v>
      </c>
      <c r="S7">
        <v>2.27510157870888E-2</v>
      </c>
      <c r="T7">
        <v>0.21819556952857699</v>
      </c>
      <c r="U7">
        <v>0.125542310505314</v>
      </c>
      <c r="V7">
        <v>4.3996636921604999E-2</v>
      </c>
      <c r="W7">
        <v>2.1815148034583402E-2</v>
      </c>
    </row>
    <row r="8" spans="1:23">
      <c r="A8">
        <v>61</v>
      </c>
      <c r="B8">
        <v>4</v>
      </c>
      <c r="C8">
        <v>4</v>
      </c>
      <c r="D8" t="s">
        <v>204</v>
      </c>
      <c r="E8">
        <v>3</v>
      </c>
      <c r="F8">
        <v>76.008105778365703</v>
      </c>
      <c r="G8">
        <v>20.301488999015401</v>
      </c>
      <c r="H8">
        <v>8.6778189331754394</v>
      </c>
      <c r="I8">
        <v>5.1806012106248396</v>
      </c>
      <c r="J8">
        <v>370.62385334433901</v>
      </c>
      <c r="K8">
        <v>67.283216882462796</v>
      </c>
      <c r="L8">
        <v>12.5275967493384</v>
      </c>
      <c r="M8">
        <v>4.5818582759581696</v>
      </c>
      <c r="N8">
        <v>2.46414159532099</v>
      </c>
      <c r="O8">
        <v>277.941101924799</v>
      </c>
      <c r="P8">
        <v>0.205081526978103</v>
      </c>
      <c r="Q8">
        <v>5.4776531018778503E-2</v>
      </c>
      <c r="R8">
        <v>2.3414086424472701E-2</v>
      </c>
      <c r="S8">
        <v>1.39780566304016E-2</v>
      </c>
      <c r="T8">
        <v>0.24207724736108699</v>
      </c>
      <c r="U8">
        <v>4.5072846954200801E-2</v>
      </c>
      <c r="V8">
        <v>1.6484997160289901E-2</v>
      </c>
      <c r="W8">
        <v>8.8656970065107508E-3</v>
      </c>
    </row>
    <row r="9" spans="1:23">
      <c r="A9">
        <v>60</v>
      </c>
      <c r="B9">
        <v>5</v>
      </c>
      <c r="C9">
        <v>5</v>
      </c>
      <c r="D9" t="s">
        <v>203</v>
      </c>
      <c r="E9">
        <v>3</v>
      </c>
      <c r="F9">
        <v>9.7441030686215893</v>
      </c>
      <c r="G9">
        <v>3.89144857797768</v>
      </c>
      <c r="H9">
        <v>1.53178089401496</v>
      </c>
      <c r="I9">
        <v>0.71400644393849899</v>
      </c>
      <c r="J9">
        <v>45.3593128362537</v>
      </c>
      <c r="K9">
        <v>21.1114821453255</v>
      </c>
      <c r="L9">
        <v>4.2082338912511501</v>
      </c>
      <c r="M9">
        <v>1.2981340467331399</v>
      </c>
      <c r="N9">
        <v>0.87287507147524301</v>
      </c>
      <c r="O9">
        <v>100.607479305966</v>
      </c>
      <c r="P9">
        <v>0.21482034138827499</v>
      </c>
      <c r="Q9">
        <v>8.5791612232437003E-2</v>
      </c>
      <c r="R9">
        <v>3.3769931646554403E-2</v>
      </c>
      <c r="S9">
        <v>1.57411212668951E-2</v>
      </c>
      <c r="T9">
        <v>0.209840086353039</v>
      </c>
      <c r="U9">
        <v>4.1828241004360299E-2</v>
      </c>
      <c r="V9">
        <v>1.29029576696308E-2</v>
      </c>
      <c r="W9">
        <v>8.6760455335598407E-3</v>
      </c>
    </row>
    <row r="10" spans="1:23">
      <c r="A10">
        <v>78</v>
      </c>
      <c r="B10">
        <v>32</v>
      </c>
      <c r="C10">
        <v>32</v>
      </c>
      <c r="D10" t="s">
        <v>655</v>
      </c>
      <c r="E10">
        <v>2</v>
      </c>
      <c r="F10">
        <v>23.053971060536501</v>
      </c>
      <c r="G10">
        <v>4.7470253631388699</v>
      </c>
      <c r="H10">
        <v>1.8394831671852101</v>
      </c>
      <c r="I10">
        <v>1.32700224550929</v>
      </c>
      <c r="J10">
        <v>94.052403142499401</v>
      </c>
      <c r="K10">
        <v>33.809309380086198</v>
      </c>
      <c r="L10">
        <v>9.1937920676900706</v>
      </c>
      <c r="M10">
        <v>3.7626592649880699</v>
      </c>
      <c r="N10">
        <v>1.9901258786643199</v>
      </c>
      <c r="O10">
        <v>181.75873872498099</v>
      </c>
      <c r="P10">
        <v>0.245118362638829</v>
      </c>
      <c r="Q10">
        <v>5.0472132604061401E-2</v>
      </c>
      <c r="R10">
        <v>1.9558066628007399E-2</v>
      </c>
      <c r="S10">
        <v>1.41091795761852E-2</v>
      </c>
      <c r="T10">
        <v>0.18601201580322901</v>
      </c>
      <c r="U10">
        <v>5.0582393628958798E-2</v>
      </c>
      <c r="V10">
        <v>2.07013940093486E-2</v>
      </c>
      <c r="W10">
        <v>1.09492720549496E-2</v>
      </c>
    </row>
    <row r="11" spans="1:23">
      <c r="A11">
        <v>32</v>
      </c>
      <c r="B11">
        <v>6</v>
      </c>
      <c r="C11">
        <v>6</v>
      </c>
      <c r="D11" t="s">
        <v>657</v>
      </c>
      <c r="E11">
        <v>3</v>
      </c>
      <c r="F11">
        <v>13.358405913658</v>
      </c>
      <c r="G11">
        <v>3.9599595796648099</v>
      </c>
      <c r="H11">
        <v>2.5404335269526199</v>
      </c>
      <c r="I11">
        <v>1.27926196587051</v>
      </c>
      <c r="J11">
        <v>80.137351640721107</v>
      </c>
      <c r="K11">
        <v>18.865342083530699</v>
      </c>
      <c r="L11">
        <v>4.7105213575825502</v>
      </c>
      <c r="M11">
        <v>2.2790718907387602</v>
      </c>
      <c r="N11">
        <v>1.27989382699304</v>
      </c>
      <c r="O11">
        <v>80.468912951241407</v>
      </c>
      <c r="P11">
        <v>0.166693877950292</v>
      </c>
      <c r="Q11">
        <v>4.9414654946652703E-2</v>
      </c>
      <c r="R11">
        <v>3.1700991796461103E-2</v>
      </c>
      <c r="S11">
        <v>1.59633671400299E-2</v>
      </c>
      <c r="T11">
        <v>0.23444261133441399</v>
      </c>
      <c r="U11">
        <v>5.8538399300072499E-2</v>
      </c>
      <c r="V11">
        <v>2.83223894439797E-2</v>
      </c>
      <c r="W11">
        <v>1.59054444760372E-2</v>
      </c>
    </row>
    <row r="12" spans="1:23">
      <c r="A12">
        <v>34</v>
      </c>
      <c r="B12">
        <v>7</v>
      </c>
      <c r="C12">
        <v>7</v>
      </c>
      <c r="D12" t="s">
        <v>659</v>
      </c>
      <c r="E12">
        <v>3</v>
      </c>
      <c r="F12">
        <v>64.825383410472597</v>
      </c>
      <c r="G12">
        <v>14.977304861652399</v>
      </c>
      <c r="H12">
        <v>5.4440114419494199</v>
      </c>
      <c r="I12">
        <v>3.2736631069637099</v>
      </c>
      <c r="J12">
        <v>292.73593506820902</v>
      </c>
      <c r="K12">
        <v>24.610405700844499</v>
      </c>
      <c r="L12">
        <v>10.923234095850599</v>
      </c>
      <c r="M12">
        <v>4.8064474355191598</v>
      </c>
      <c r="N12">
        <v>2.0611440983879801</v>
      </c>
      <c r="O12">
        <v>119.170704603822</v>
      </c>
      <c r="P12">
        <v>0.221446620126661</v>
      </c>
      <c r="Q12">
        <v>5.1163192035725398E-2</v>
      </c>
      <c r="R12">
        <v>1.85970042956323E-2</v>
      </c>
      <c r="S12">
        <v>1.11829902475107E-2</v>
      </c>
      <c r="T12">
        <v>0.206513889320875</v>
      </c>
      <c r="U12">
        <v>9.16603970091842E-2</v>
      </c>
      <c r="V12">
        <v>4.0332457976966503E-2</v>
      </c>
      <c r="W12">
        <v>1.72957280502802E-2</v>
      </c>
    </row>
    <row r="13" spans="1:23">
      <c r="A13">
        <v>27</v>
      </c>
      <c r="B13">
        <v>8</v>
      </c>
      <c r="C13">
        <v>8</v>
      </c>
      <c r="D13" s="86" t="s">
        <v>665</v>
      </c>
      <c r="E13">
        <v>3</v>
      </c>
      <c r="F13">
        <v>64.353167969210602</v>
      </c>
      <c r="G13">
        <v>25.607392268753699</v>
      </c>
      <c r="H13">
        <v>8.2521584656922808</v>
      </c>
      <c r="I13">
        <v>2.3836464413807699</v>
      </c>
      <c r="J13">
        <v>249.829417628257</v>
      </c>
      <c r="K13">
        <v>95.075264345616404</v>
      </c>
      <c r="L13">
        <v>30.4025597928294</v>
      </c>
      <c r="M13">
        <v>9.5764795017125</v>
      </c>
      <c r="N13">
        <v>3.7674288960859399</v>
      </c>
      <c r="O13">
        <v>359.28858001275199</v>
      </c>
      <c r="P13">
        <v>0.25758843205954002</v>
      </c>
      <c r="Q13">
        <v>0.10249950751139</v>
      </c>
      <c r="R13">
        <v>3.3031172005417601E-2</v>
      </c>
      <c r="S13">
        <v>9.5410959366186501E-3</v>
      </c>
      <c r="T13">
        <v>0.26462089149129697</v>
      </c>
      <c r="U13">
        <v>8.4618775781157299E-2</v>
      </c>
      <c r="V13">
        <v>2.6654004703886298E-2</v>
      </c>
      <c r="W13">
        <v>1.04858019588383E-2</v>
      </c>
    </row>
    <row r="14" spans="1:23">
      <c r="A14">
        <v>23</v>
      </c>
      <c r="B14">
        <v>33</v>
      </c>
      <c r="C14">
        <v>33</v>
      </c>
      <c r="D14" t="s">
        <v>661</v>
      </c>
      <c r="E14">
        <v>2</v>
      </c>
      <c r="F14">
        <v>36.087241929507897</v>
      </c>
      <c r="G14">
        <v>6.3180219009882599</v>
      </c>
      <c r="H14">
        <v>3.1114377456475402</v>
      </c>
      <c r="I14">
        <v>2.05610840888875</v>
      </c>
      <c r="J14">
        <v>188.90994890547299</v>
      </c>
      <c r="K14">
        <v>48.484450886697097</v>
      </c>
      <c r="L14">
        <v>6.20455267599639</v>
      </c>
      <c r="M14">
        <v>2.3227967455411802</v>
      </c>
      <c r="N14">
        <v>1.8771877889448301</v>
      </c>
      <c r="O14">
        <v>337.81381839327503</v>
      </c>
      <c r="P14">
        <v>0.191028805727777</v>
      </c>
      <c r="Q14">
        <v>3.3444622358929803E-2</v>
      </c>
      <c r="R14">
        <v>1.6470481113752499E-2</v>
      </c>
      <c r="S14">
        <v>1.0884066301439701E-2</v>
      </c>
      <c r="T14">
        <v>0.14352417884295199</v>
      </c>
      <c r="U14">
        <v>1.83667817542419E-2</v>
      </c>
      <c r="V14">
        <v>6.87596723126652E-3</v>
      </c>
      <c r="W14">
        <v>5.5568709352186796E-3</v>
      </c>
    </row>
    <row r="15" spans="1:23">
      <c r="A15">
        <v>8</v>
      </c>
      <c r="B15">
        <v>45</v>
      </c>
      <c r="C15">
        <v>45</v>
      </c>
      <c r="D15" t="s">
        <v>663</v>
      </c>
      <c r="E15">
        <v>1</v>
      </c>
      <c r="F15">
        <v>62.345452854831002</v>
      </c>
      <c r="G15">
        <v>12.283073868643701</v>
      </c>
      <c r="H15">
        <v>6.2200568150853597</v>
      </c>
      <c r="I15">
        <v>3.3774712522185499</v>
      </c>
      <c r="J15">
        <v>282.81116005251903</v>
      </c>
      <c r="K15">
        <v>35.9350779113405</v>
      </c>
      <c r="L15">
        <v>9.3551615433542104</v>
      </c>
      <c r="M15">
        <v>5.2771368520713198</v>
      </c>
      <c r="N15">
        <v>3.1496029032600501</v>
      </c>
      <c r="O15">
        <v>175.835203439217</v>
      </c>
      <c r="P15">
        <v>0.220449054567908</v>
      </c>
      <c r="Q15">
        <v>4.3432069181296502E-2</v>
      </c>
      <c r="R15">
        <v>2.1993675263487701E-2</v>
      </c>
      <c r="S15">
        <v>1.1942496369631701E-2</v>
      </c>
      <c r="T15">
        <v>0.20436793775350301</v>
      </c>
      <c r="U15">
        <v>5.3204144337274897E-2</v>
      </c>
      <c r="V15">
        <v>3.0011833517146098E-2</v>
      </c>
      <c r="W15">
        <v>1.7912243064278102E-2</v>
      </c>
    </row>
    <row r="16" spans="1:23">
      <c r="A16">
        <v>56</v>
      </c>
      <c r="B16">
        <v>46</v>
      </c>
      <c r="C16">
        <v>46</v>
      </c>
      <c r="D16" t="s">
        <v>667</v>
      </c>
      <c r="E16">
        <v>1</v>
      </c>
      <c r="F16">
        <v>24.848576517796999</v>
      </c>
      <c r="G16">
        <v>8.6374187029196108</v>
      </c>
      <c r="H16">
        <v>3.6950689558215899</v>
      </c>
      <c r="I16">
        <v>2.3590054456645499</v>
      </c>
      <c r="J16">
        <v>126.91875349145801</v>
      </c>
      <c r="K16">
        <v>27.560550751146501</v>
      </c>
      <c r="L16">
        <v>9.0349284634912195</v>
      </c>
      <c r="M16">
        <v>3.2194352604020802</v>
      </c>
      <c r="N16">
        <v>2.06378221120098</v>
      </c>
      <c r="O16">
        <v>119.33911249803199</v>
      </c>
      <c r="P16">
        <v>0.195783332519645</v>
      </c>
      <c r="Q16">
        <v>6.8054707955361005E-2</v>
      </c>
      <c r="R16">
        <v>2.9113656210548001E-2</v>
      </c>
      <c r="S16">
        <v>1.8586736638753099E-2</v>
      </c>
      <c r="T16">
        <v>0.23094315161428</v>
      </c>
      <c r="U16">
        <v>7.5708024589509496E-2</v>
      </c>
      <c r="V16">
        <v>2.6977201296475101E-2</v>
      </c>
      <c r="W16">
        <v>1.72934268405509E-2</v>
      </c>
    </row>
    <row r="17" spans="1:23">
      <c r="A17">
        <v>47</v>
      </c>
      <c r="B17">
        <v>34</v>
      </c>
      <c r="C17">
        <v>34</v>
      </c>
      <c r="D17" t="s">
        <v>672</v>
      </c>
      <c r="E17">
        <v>2</v>
      </c>
      <c r="F17">
        <v>76.264376822641793</v>
      </c>
      <c r="G17">
        <v>22.165824763166999</v>
      </c>
      <c r="H17">
        <v>4.5857396642850201</v>
      </c>
      <c r="I17">
        <v>2.22237738673845</v>
      </c>
      <c r="J17">
        <v>284.39579712496999</v>
      </c>
      <c r="K17">
        <v>73.777764414006697</v>
      </c>
      <c r="L17">
        <v>23.890418431123599</v>
      </c>
      <c r="M17">
        <v>5.5571224686779104</v>
      </c>
      <c r="N17">
        <v>2.1531287246635502</v>
      </c>
      <c r="O17">
        <v>267.98881352987098</v>
      </c>
      <c r="P17">
        <v>0.26816281250854601</v>
      </c>
      <c r="Q17">
        <v>7.7940057438425706E-2</v>
      </c>
      <c r="R17">
        <v>1.6124498711455802E-2</v>
      </c>
      <c r="S17">
        <v>7.8143819606514304E-3</v>
      </c>
      <c r="T17">
        <v>0.27530165696928599</v>
      </c>
      <c r="U17">
        <v>8.9147073403721203E-2</v>
      </c>
      <c r="V17">
        <v>2.0736397148377501E-2</v>
      </c>
      <c r="W17">
        <v>8.0343977657244704E-3</v>
      </c>
    </row>
    <row r="18" spans="1:23">
      <c r="A18">
        <v>69</v>
      </c>
      <c r="B18">
        <v>47</v>
      </c>
      <c r="C18">
        <v>47</v>
      </c>
      <c r="D18" t="s">
        <v>211</v>
      </c>
      <c r="E18">
        <v>1</v>
      </c>
      <c r="F18">
        <v>53.0478354422998</v>
      </c>
      <c r="G18">
        <v>11.439658974114099</v>
      </c>
      <c r="H18">
        <v>4.6505275544291704</v>
      </c>
      <c r="I18">
        <v>2.0707795461566101</v>
      </c>
      <c r="J18">
        <v>333.94907912689001</v>
      </c>
      <c r="K18">
        <v>76.681417813132697</v>
      </c>
      <c r="L18">
        <v>32.071747215995302</v>
      </c>
      <c r="M18">
        <v>11.6628540227745</v>
      </c>
      <c r="N18">
        <v>5.2055369264633402</v>
      </c>
      <c r="O18">
        <v>327.79689474230997</v>
      </c>
      <c r="P18">
        <v>0.158850072534991</v>
      </c>
      <c r="Q18">
        <v>3.4255698515543297E-2</v>
      </c>
      <c r="R18">
        <v>1.39258582972828E-2</v>
      </c>
      <c r="S18">
        <v>6.2008841335052097E-3</v>
      </c>
      <c r="T18">
        <v>0.233929665115999</v>
      </c>
      <c r="U18">
        <v>9.78403021212505E-2</v>
      </c>
      <c r="V18">
        <v>3.5579513442136002E-2</v>
      </c>
      <c r="W18">
        <v>1.5880372907606601E-2</v>
      </c>
    </row>
    <row r="19" spans="1:23">
      <c r="B19">
        <v>72</v>
      </c>
      <c r="C19">
        <v>72</v>
      </c>
      <c r="D19" t="s">
        <v>669</v>
      </c>
      <c r="E19">
        <v>3</v>
      </c>
      <c r="F19">
        <v>31.3475161538781</v>
      </c>
      <c r="G19">
        <v>12.422649589596499</v>
      </c>
      <c r="H19">
        <v>4.9039386904417199</v>
      </c>
      <c r="I19">
        <v>1.93830910234595</v>
      </c>
      <c r="J19">
        <v>122.135185218033</v>
      </c>
      <c r="K19">
        <v>59.177961429641897</v>
      </c>
      <c r="L19">
        <v>20.173129362373899</v>
      </c>
      <c r="M19">
        <v>7.7489919794878501</v>
      </c>
      <c r="N19">
        <v>5.0717039066423304</v>
      </c>
      <c r="O19">
        <v>257.124601828697</v>
      </c>
      <c r="P19">
        <v>0.25666245233031798</v>
      </c>
      <c r="Q19">
        <v>0.101712291731656</v>
      </c>
      <c r="R19">
        <v>4.0151727626132498E-2</v>
      </c>
      <c r="S19">
        <v>1.58701941531895E-2</v>
      </c>
      <c r="T19">
        <v>0.23015285588684301</v>
      </c>
      <c r="U19">
        <v>7.8456628494124894E-2</v>
      </c>
      <c r="V19">
        <v>3.01371083294877E-2</v>
      </c>
      <c r="W19">
        <v>1.9724693283224699E-2</v>
      </c>
    </row>
    <row r="20" spans="1:23">
      <c r="A20">
        <v>38</v>
      </c>
      <c r="B20">
        <v>48</v>
      </c>
      <c r="C20">
        <v>48</v>
      </c>
      <c r="D20" t="s">
        <v>674</v>
      </c>
      <c r="E20">
        <v>1</v>
      </c>
      <c r="F20">
        <v>58.000425793123803</v>
      </c>
      <c r="G20">
        <v>34.193284005487698</v>
      </c>
      <c r="H20">
        <v>12.0163290023913</v>
      </c>
      <c r="I20">
        <v>3.9622089797434201</v>
      </c>
      <c r="J20">
        <v>252.996711737753</v>
      </c>
      <c r="K20">
        <v>86.041186739950405</v>
      </c>
      <c r="L20">
        <v>35.066170488747503</v>
      </c>
      <c r="M20">
        <v>11.7511211595363</v>
      </c>
      <c r="N20">
        <v>4.4798325876709999</v>
      </c>
      <c r="O20">
        <v>348.00055595507303</v>
      </c>
      <c r="P20">
        <v>0.22925367446374101</v>
      </c>
      <c r="Q20">
        <v>0.135153076775682</v>
      </c>
      <c r="R20">
        <v>4.7495988860309798E-2</v>
      </c>
      <c r="S20">
        <v>1.5661108607018099E-2</v>
      </c>
      <c r="T20">
        <v>0.24724439449188201</v>
      </c>
      <c r="U20">
        <v>0.100764696747423</v>
      </c>
      <c r="V20">
        <v>3.3767535592826303E-2</v>
      </c>
      <c r="W20">
        <v>1.2873061582836499E-2</v>
      </c>
    </row>
    <row r="21" spans="1:23">
      <c r="A21">
        <v>70</v>
      </c>
      <c r="B21">
        <v>49</v>
      </c>
      <c r="C21">
        <v>49</v>
      </c>
      <c r="D21" t="s">
        <v>212</v>
      </c>
      <c r="E21">
        <v>1</v>
      </c>
      <c r="F21">
        <v>42.828625959044302</v>
      </c>
      <c r="G21">
        <v>13.4559712243666</v>
      </c>
      <c r="H21">
        <v>2.9955021828591502</v>
      </c>
      <c r="I21">
        <v>0.88524859045605797</v>
      </c>
      <c r="J21">
        <v>162.69168342875801</v>
      </c>
      <c r="K21">
        <v>16.884475808081699</v>
      </c>
      <c r="L21">
        <v>7.5958168985363201</v>
      </c>
      <c r="M21">
        <v>3.0368390502182998</v>
      </c>
      <c r="N21">
        <v>1.3789948348169301</v>
      </c>
      <c r="O21">
        <v>101.918190810243</v>
      </c>
      <c r="P21">
        <v>0.263250247685824</v>
      </c>
      <c r="Q21">
        <v>8.2708414719052797E-2</v>
      </c>
      <c r="R21">
        <v>1.8412140803564001E-2</v>
      </c>
      <c r="S21">
        <v>5.4412651697940198E-3</v>
      </c>
      <c r="T21">
        <v>0.16566694987274699</v>
      </c>
      <c r="U21">
        <v>7.4528568827115602E-2</v>
      </c>
      <c r="V21">
        <v>2.9796830438959102E-2</v>
      </c>
      <c r="W21">
        <v>1.3530409280757501E-2</v>
      </c>
    </row>
    <row r="22" spans="1:23">
      <c r="B22">
        <v>73</v>
      </c>
      <c r="C22">
        <v>73</v>
      </c>
      <c r="D22" t="s">
        <v>677</v>
      </c>
      <c r="E22">
        <v>1</v>
      </c>
      <c r="F22">
        <v>29.128028011190899</v>
      </c>
      <c r="G22">
        <v>10.1912968282459</v>
      </c>
      <c r="H22">
        <v>3.55629675571925</v>
      </c>
      <c r="I22">
        <v>1.89174397270483</v>
      </c>
      <c r="J22">
        <v>125.286462186744</v>
      </c>
      <c r="K22">
        <v>31.8041004871844</v>
      </c>
      <c r="L22">
        <v>9.4776862229237508</v>
      </c>
      <c r="M22">
        <v>3.8660196437438699</v>
      </c>
      <c r="N22">
        <v>2.2950115411616498</v>
      </c>
      <c r="O22">
        <v>155.83469145858101</v>
      </c>
      <c r="P22">
        <v>0.23249142407560799</v>
      </c>
      <c r="Q22">
        <v>8.1343958879255607E-2</v>
      </c>
      <c r="R22">
        <v>2.8385323471090299E-2</v>
      </c>
      <c r="S22">
        <v>1.5099348642195001E-2</v>
      </c>
      <c r="T22">
        <v>0.20408870572723201</v>
      </c>
      <c r="U22">
        <v>6.0818846780614298E-2</v>
      </c>
      <c r="V22">
        <v>2.4808465994052498E-2</v>
      </c>
      <c r="W22">
        <v>1.4727218436927E-2</v>
      </c>
    </row>
    <row r="23" spans="1:23">
      <c r="A23">
        <v>36</v>
      </c>
      <c r="B23">
        <v>50</v>
      </c>
      <c r="C23">
        <v>50</v>
      </c>
      <c r="D23" t="s">
        <v>679</v>
      </c>
      <c r="E23">
        <v>1</v>
      </c>
      <c r="F23">
        <v>61.893004629145103</v>
      </c>
      <c r="G23">
        <v>8.3139850390514098</v>
      </c>
      <c r="H23">
        <v>3.5831960170108599</v>
      </c>
      <c r="I23">
        <v>1.7296157210974199</v>
      </c>
      <c r="J23">
        <v>445.75670179033898</v>
      </c>
      <c r="K23">
        <v>85.639897615662093</v>
      </c>
      <c r="L23">
        <v>8.4127765464158202</v>
      </c>
      <c r="M23">
        <v>3.7376307612273698</v>
      </c>
      <c r="N23">
        <v>1.56734603376057</v>
      </c>
      <c r="O23">
        <v>337.09046879861398</v>
      </c>
      <c r="P23">
        <v>0.13884929689348</v>
      </c>
      <c r="Q23">
        <v>1.86513966153713E-2</v>
      </c>
      <c r="R23">
        <v>8.0384568591325596E-3</v>
      </c>
      <c r="S23">
        <v>3.8801788378067799E-3</v>
      </c>
      <c r="T23">
        <v>0.25405612303688602</v>
      </c>
      <c r="U23">
        <v>2.4957028824928999E-2</v>
      </c>
      <c r="V23">
        <v>1.1087915877741199E-2</v>
      </c>
      <c r="W23">
        <v>4.64963022937602E-3</v>
      </c>
    </row>
    <row r="24" spans="1:23">
      <c r="A24">
        <v>15</v>
      </c>
      <c r="B24">
        <v>9</v>
      </c>
      <c r="C24">
        <v>9</v>
      </c>
      <c r="D24" t="s">
        <v>681</v>
      </c>
      <c r="E24">
        <v>3</v>
      </c>
      <c r="F24">
        <v>11.5746967564946</v>
      </c>
      <c r="G24">
        <v>4.8599654476899801</v>
      </c>
      <c r="H24">
        <v>2.8456206452544501</v>
      </c>
      <c r="I24">
        <v>1.4583352539982799</v>
      </c>
      <c r="J24">
        <v>77.609586642281997</v>
      </c>
      <c r="K24">
        <v>20.5071819334234</v>
      </c>
      <c r="L24">
        <v>6.7048064945528996</v>
      </c>
      <c r="M24">
        <v>2.9420563343941799</v>
      </c>
      <c r="N24">
        <v>1.4667049588216099</v>
      </c>
      <c r="O24">
        <v>103.07009247776099</v>
      </c>
      <c r="P24">
        <v>0.14914003871512199</v>
      </c>
      <c r="Q24">
        <v>6.2620684608082303E-2</v>
      </c>
      <c r="R24">
        <v>3.6665839471230199E-2</v>
      </c>
      <c r="S24">
        <v>1.8790658694267201E-2</v>
      </c>
      <c r="T24">
        <v>0.19896345720120701</v>
      </c>
      <c r="U24">
        <v>6.5050940902178597E-2</v>
      </c>
      <c r="V24">
        <v>2.8544229113105501E-2</v>
      </c>
      <c r="W24">
        <v>1.4230170203233999E-2</v>
      </c>
    </row>
    <row r="25" spans="1:23">
      <c r="A25">
        <v>25</v>
      </c>
      <c r="B25">
        <v>10</v>
      </c>
      <c r="C25">
        <v>10</v>
      </c>
      <c r="D25" t="s">
        <v>683</v>
      </c>
      <c r="E25">
        <v>3</v>
      </c>
      <c r="F25">
        <v>38.943945900946503</v>
      </c>
      <c r="G25">
        <v>13.7785302130101</v>
      </c>
      <c r="H25">
        <v>6.2568456250420201</v>
      </c>
      <c r="I25">
        <v>3.96410918357026</v>
      </c>
      <c r="J25">
        <v>198.79046158950399</v>
      </c>
      <c r="K25">
        <v>54.158262997724499</v>
      </c>
      <c r="L25">
        <v>21.577654448378102</v>
      </c>
      <c r="M25">
        <v>11.087382133026001</v>
      </c>
      <c r="N25">
        <v>5.9768418510533898</v>
      </c>
      <c r="O25">
        <v>263.53481782713999</v>
      </c>
      <c r="P25">
        <v>0.19590449958994699</v>
      </c>
      <c r="Q25">
        <v>6.9311827654297997E-2</v>
      </c>
      <c r="R25">
        <v>3.1474576672406898E-2</v>
      </c>
      <c r="S25">
        <v>1.99411438148175E-2</v>
      </c>
      <c r="T25">
        <v>0.205507050052295</v>
      </c>
      <c r="U25">
        <v>8.1877812678746303E-2</v>
      </c>
      <c r="V25">
        <v>4.2071792351546199E-2</v>
      </c>
      <c r="W25">
        <v>2.2679514989073599E-2</v>
      </c>
    </row>
    <row r="26" spans="1:23">
      <c r="A26">
        <v>57</v>
      </c>
      <c r="B26">
        <v>11</v>
      </c>
      <c r="C26">
        <v>11</v>
      </c>
      <c r="D26" t="s">
        <v>685</v>
      </c>
      <c r="E26">
        <v>3</v>
      </c>
      <c r="F26">
        <v>47.358412159407102</v>
      </c>
      <c r="G26">
        <v>24.139566538773799</v>
      </c>
      <c r="H26">
        <v>8.3685188097670498</v>
      </c>
      <c r="I26">
        <v>3.63629022074507</v>
      </c>
      <c r="J26">
        <v>197.76322790266801</v>
      </c>
      <c r="K26">
        <v>54.682304704502698</v>
      </c>
      <c r="L26">
        <v>13.0117637404852</v>
      </c>
      <c r="M26">
        <v>6.6468006040911503</v>
      </c>
      <c r="N26">
        <v>4.2843270032195502</v>
      </c>
      <c r="O26">
        <v>369.08304153182303</v>
      </c>
      <c r="P26">
        <v>0.23947026280697301</v>
      </c>
      <c r="Q26">
        <v>0.12206296789742201</v>
      </c>
      <c r="R26">
        <v>4.2315848595906598E-2</v>
      </c>
      <c r="S26">
        <v>1.8387089750247901E-2</v>
      </c>
      <c r="T26">
        <v>0.14815718565001501</v>
      </c>
      <c r="U26">
        <v>3.5254298562409997E-2</v>
      </c>
      <c r="V26">
        <v>1.80089569450404E-2</v>
      </c>
      <c r="W26">
        <v>1.1608029958347799E-2</v>
      </c>
    </row>
    <row r="27" spans="1:23">
      <c r="A27">
        <v>16</v>
      </c>
      <c r="B27">
        <v>35</v>
      </c>
      <c r="C27">
        <v>35</v>
      </c>
      <c r="D27" t="s">
        <v>688</v>
      </c>
      <c r="E27">
        <v>2</v>
      </c>
      <c r="F27">
        <v>28.633244886231001</v>
      </c>
      <c r="G27">
        <v>8.9215845740316002</v>
      </c>
      <c r="H27">
        <v>2.3646903331259299</v>
      </c>
      <c r="I27">
        <v>1.2268145095054399</v>
      </c>
      <c r="J27">
        <v>109.328111012855</v>
      </c>
      <c r="K27">
        <v>44.3243159670578</v>
      </c>
      <c r="L27">
        <v>12.614484246084601</v>
      </c>
      <c r="M27">
        <v>3.7435801043406101</v>
      </c>
      <c r="N27">
        <v>2.2464604839101501</v>
      </c>
      <c r="O27">
        <v>187.76185024988001</v>
      </c>
      <c r="P27">
        <v>0.261901944714514</v>
      </c>
      <c r="Q27">
        <v>8.1603756722574305E-2</v>
      </c>
      <c r="R27">
        <v>2.1629298368174399E-2</v>
      </c>
      <c r="S27">
        <v>1.1221400407816299E-2</v>
      </c>
      <c r="T27">
        <v>0.23606667652704499</v>
      </c>
      <c r="U27">
        <v>6.7183425329995203E-2</v>
      </c>
      <c r="V27">
        <v>1.9937916564832101E-2</v>
      </c>
      <c r="W27">
        <v>1.1964413862137001E-2</v>
      </c>
    </row>
    <row r="28" spans="1:23">
      <c r="A28">
        <v>7</v>
      </c>
      <c r="B28">
        <v>51</v>
      </c>
      <c r="C28">
        <v>51</v>
      </c>
      <c r="D28" t="s">
        <v>690</v>
      </c>
      <c r="E28">
        <v>1</v>
      </c>
      <c r="F28">
        <v>30.728714341422801</v>
      </c>
      <c r="G28">
        <v>11.0995709375008</v>
      </c>
      <c r="H28">
        <v>4.6102436317049502</v>
      </c>
      <c r="I28">
        <v>2.1590499620103301</v>
      </c>
      <c r="J28">
        <v>151.091451881186</v>
      </c>
      <c r="K28">
        <v>38.923798260839199</v>
      </c>
      <c r="L28">
        <v>9.46399830694107</v>
      </c>
      <c r="M28">
        <v>3.86635379117038</v>
      </c>
      <c r="N28">
        <v>1.8739612565786701</v>
      </c>
      <c r="O28">
        <v>244.392539938178</v>
      </c>
      <c r="P28">
        <v>0.20337824515437899</v>
      </c>
      <c r="Q28">
        <v>7.3462600294748603E-2</v>
      </c>
      <c r="R28">
        <v>3.05129348768872E-2</v>
      </c>
      <c r="S28">
        <v>1.42896896887863E-2</v>
      </c>
      <c r="T28">
        <v>0.159267538488227</v>
      </c>
      <c r="U28">
        <v>3.8724579356371198E-2</v>
      </c>
      <c r="V28">
        <v>1.5820261093683299E-2</v>
      </c>
      <c r="W28">
        <v>7.6678333023287599E-3</v>
      </c>
    </row>
    <row r="29" spans="1:23">
      <c r="A29">
        <v>13</v>
      </c>
      <c r="B29">
        <v>39</v>
      </c>
      <c r="C29">
        <v>39</v>
      </c>
      <c r="D29" t="s">
        <v>81</v>
      </c>
      <c r="E29">
        <v>2</v>
      </c>
      <c r="F29">
        <v>34.085387293154703</v>
      </c>
      <c r="G29">
        <v>9.5901249102600907</v>
      </c>
      <c r="H29">
        <v>3.2207127204372301</v>
      </c>
      <c r="I29">
        <v>1.4763856463852301</v>
      </c>
      <c r="J29">
        <v>166.39594155211699</v>
      </c>
      <c r="K29">
        <v>47.670114482432602</v>
      </c>
      <c r="L29">
        <v>13.361246322629601</v>
      </c>
      <c r="M29">
        <v>4.2090306328075302</v>
      </c>
      <c r="N29">
        <v>2.18518484570808</v>
      </c>
      <c r="O29">
        <v>196.90154306664601</v>
      </c>
      <c r="P29">
        <v>0.20484506397939301</v>
      </c>
      <c r="Q29">
        <v>5.7634367886649301E-2</v>
      </c>
      <c r="R29">
        <v>1.9355716794501699E-2</v>
      </c>
      <c r="S29">
        <v>8.8727262973707297E-3</v>
      </c>
      <c r="T29">
        <v>0.24210127427136199</v>
      </c>
      <c r="U29">
        <v>6.7857499309221497E-2</v>
      </c>
      <c r="V29">
        <v>2.1376321217466999E-2</v>
      </c>
      <c r="W29">
        <v>1.10978553630149E-2</v>
      </c>
    </row>
    <row r="30" spans="1:23">
      <c r="A30">
        <v>68</v>
      </c>
      <c r="B30">
        <v>54</v>
      </c>
      <c r="C30">
        <v>54</v>
      </c>
      <c r="D30" t="s">
        <v>210</v>
      </c>
      <c r="E30">
        <v>1</v>
      </c>
      <c r="F30">
        <v>7.3761076727590398</v>
      </c>
      <c r="G30">
        <v>2.5737005417222498</v>
      </c>
      <c r="H30">
        <v>0.86401227418350701</v>
      </c>
      <c r="I30">
        <v>0.45691344468311801</v>
      </c>
      <c r="J30">
        <v>26.536584912526301</v>
      </c>
      <c r="K30">
        <v>24.2720007785768</v>
      </c>
      <c r="L30">
        <v>4.4367437145914099</v>
      </c>
      <c r="M30">
        <v>1.7240478840223901</v>
      </c>
      <c r="N30">
        <v>1.05743827991822</v>
      </c>
      <c r="O30">
        <v>94.316395222387996</v>
      </c>
      <c r="P30">
        <v>0.27795994462261198</v>
      </c>
      <c r="Q30">
        <v>9.6986878688650094E-2</v>
      </c>
      <c r="R30">
        <v>3.2559286623790901E-2</v>
      </c>
      <c r="S30">
        <v>1.72182459117954E-2</v>
      </c>
      <c r="T30">
        <v>0.25734656971723802</v>
      </c>
      <c r="U30">
        <v>4.7041065385610301E-2</v>
      </c>
      <c r="V30">
        <v>1.8279408155467199E-2</v>
      </c>
      <c r="W30">
        <v>1.12116061838972E-2</v>
      </c>
    </row>
    <row r="31" spans="1:23">
      <c r="A31">
        <v>12</v>
      </c>
      <c r="B31">
        <v>12</v>
      </c>
      <c r="C31">
        <v>12</v>
      </c>
      <c r="D31" t="s">
        <v>0</v>
      </c>
      <c r="E31">
        <v>3</v>
      </c>
      <c r="F31">
        <v>21.972996969611799</v>
      </c>
      <c r="G31">
        <v>8.8159689270034995</v>
      </c>
      <c r="H31">
        <v>3.5606198630403898</v>
      </c>
      <c r="I31">
        <v>1.72724972398273</v>
      </c>
      <c r="J31">
        <v>99.842816326113905</v>
      </c>
      <c r="K31">
        <v>33.323592851616098</v>
      </c>
      <c r="L31">
        <v>9.8722203961432999</v>
      </c>
      <c r="M31">
        <v>3.5946822828845799</v>
      </c>
      <c r="N31">
        <v>2.2877125505220701</v>
      </c>
      <c r="O31">
        <v>184.49874679217399</v>
      </c>
      <c r="P31">
        <v>0.22007589307018299</v>
      </c>
      <c r="Q31">
        <v>8.8298480064986695E-2</v>
      </c>
      <c r="R31">
        <v>3.5662253871229302E-2</v>
      </c>
      <c r="S31">
        <v>1.72996895273974E-2</v>
      </c>
      <c r="T31">
        <v>0.18061690624464299</v>
      </c>
      <c r="U31">
        <v>5.3508333079702403E-2</v>
      </c>
      <c r="V31">
        <v>1.9483505147781702E-2</v>
      </c>
      <c r="W31">
        <v>1.2399610242876301E-2</v>
      </c>
    </row>
    <row r="32" spans="1:23">
      <c r="A32">
        <v>18</v>
      </c>
      <c r="B32">
        <v>52</v>
      </c>
      <c r="C32">
        <v>52</v>
      </c>
      <c r="D32" t="s">
        <v>692</v>
      </c>
      <c r="E32">
        <v>1</v>
      </c>
      <c r="F32">
        <v>25.338235849857401</v>
      </c>
      <c r="G32">
        <v>7.0687388307966996</v>
      </c>
      <c r="H32">
        <v>3.3133831985174602</v>
      </c>
      <c r="I32">
        <v>2.0801765529438501</v>
      </c>
      <c r="J32">
        <v>89.487311919333294</v>
      </c>
      <c r="K32">
        <v>38.417858935150399</v>
      </c>
      <c r="L32">
        <v>8.6729184446772294</v>
      </c>
      <c r="M32">
        <v>2.6604569123700901</v>
      </c>
      <c r="N32">
        <v>1.4612493942799001</v>
      </c>
      <c r="O32">
        <v>130.711303544515</v>
      </c>
      <c r="P32">
        <v>0.28314892141020098</v>
      </c>
      <c r="Q32">
        <v>7.8991520464584797E-2</v>
      </c>
      <c r="R32">
        <v>3.7026290403093597E-2</v>
      </c>
      <c r="S32">
        <v>2.32454915487794E-2</v>
      </c>
      <c r="T32">
        <v>0.29391382300817498</v>
      </c>
      <c r="U32">
        <v>6.6351709526969699E-2</v>
      </c>
      <c r="V32">
        <v>2.0353686637851101E-2</v>
      </c>
      <c r="W32">
        <v>1.1179212161879001E-2</v>
      </c>
    </row>
    <row r="33" spans="1:23">
      <c r="A33">
        <v>66</v>
      </c>
      <c r="B33">
        <v>13</v>
      </c>
      <c r="C33">
        <v>13</v>
      </c>
      <c r="D33" t="s">
        <v>694</v>
      </c>
      <c r="E33">
        <v>3</v>
      </c>
      <c r="F33">
        <v>37.126922596761098</v>
      </c>
      <c r="G33">
        <v>9.03463351634948</v>
      </c>
      <c r="H33">
        <v>3.7828683594188002</v>
      </c>
      <c r="I33">
        <v>1.6536578557442201</v>
      </c>
      <c r="J33">
        <v>216.63804739728801</v>
      </c>
      <c r="K33">
        <v>44.475280413097003</v>
      </c>
      <c r="L33">
        <v>10.851810286189099</v>
      </c>
      <c r="M33">
        <v>4.2995395704371502</v>
      </c>
      <c r="N33">
        <v>1.8812333584415799</v>
      </c>
      <c r="O33">
        <v>203.089227535605</v>
      </c>
      <c r="P33">
        <v>0.17137766446295</v>
      </c>
      <c r="Q33">
        <v>4.1703817149814998E-2</v>
      </c>
      <c r="R33">
        <v>1.7461698925311499E-2</v>
      </c>
      <c r="S33">
        <v>7.6332752977209296E-3</v>
      </c>
      <c r="T33">
        <v>0.218993793776185</v>
      </c>
      <c r="U33">
        <v>5.3433707035428803E-2</v>
      </c>
      <c r="V33">
        <v>2.1170692422291901E-2</v>
      </c>
      <c r="W33">
        <v>9.2630878617713398E-3</v>
      </c>
    </row>
    <row r="34" spans="1:23">
      <c r="A34">
        <v>49</v>
      </c>
      <c r="B34">
        <v>36</v>
      </c>
      <c r="C34">
        <v>36</v>
      </c>
      <c r="D34" t="s">
        <v>696</v>
      </c>
      <c r="E34">
        <v>2</v>
      </c>
      <c r="F34">
        <v>10.708012058278999</v>
      </c>
      <c r="G34">
        <v>4.8709861229884801</v>
      </c>
      <c r="H34">
        <v>2.8229965293427899</v>
      </c>
      <c r="I34">
        <v>2.0392499127486201</v>
      </c>
      <c r="J34">
        <v>85.533080385349606</v>
      </c>
      <c r="K34">
        <v>25.346014285553402</v>
      </c>
      <c r="L34">
        <v>11.451504513072001</v>
      </c>
      <c r="M34">
        <v>5.2081417588124799</v>
      </c>
      <c r="N34">
        <v>2.8323250838624001</v>
      </c>
      <c r="O34">
        <v>145.00260276631701</v>
      </c>
      <c r="P34">
        <v>0.12519146989721999</v>
      </c>
      <c r="Q34">
        <v>5.6948564240214203E-2</v>
      </c>
      <c r="R34">
        <v>3.30047335676961E-2</v>
      </c>
      <c r="S34">
        <v>2.38416517160524E-2</v>
      </c>
      <c r="T34">
        <v>0.17479696089593999</v>
      </c>
      <c r="U34">
        <v>7.8974475592876195E-2</v>
      </c>
      <c r="V34">
        <v>3.5917574301792501E-2</v>
      </c>
      <c r="W34">
        <v>1.9532925822213901E-2</v>
      </c>
    </row>
    <row r="35" spans="1:23">
      <c r="A35">
        <v>29</v>
      </c>
      <c r="B35">
        <v>53</v>
      </c>
      <c r="C35">
        <v>53</v>
      </c>
      <c r="D35" t="s">
        <v>698</v>
      </c>
      <c r="E35">
        <v>1</v>
      </c>
      <c r="F35">
        <v>20.310371036321001</v>
      </c>
      <c r="G35">
        <v>11.4343074309235</v>
      </c>
      <c r="H35">
        <v>4.9952476827233996</v>
      </c>
      <c r="I35">
        <v>2.2357138476241398</v>
      </c>
      <c r="J35">
        <v>103.814839646824</v>
      </c>
      <c r="K35">
        <v>24.764048401550799</v>
      </c>
      <c r="L35">
        <v>10.5969814041436</v>
      </c>
      <c r="M35">
        <v>5.47374729137195</v>
      </c>
      <c r="N35">
        <v>2.8437128508957401</v>
      </c>
      <c r="O35">
        <v>120.526227476622</v>
      </c>
      <c r="P35">
        <v>0.195640344920019</v>
      </c>
      <c r="Q35">
        <v>0.110141358112413</v>
      </c>
      <c r="R35">
        <v>4.8116894460533202E-2</v>
      </c>
      <c r="S35">
        <v>2.1535590241530001E-2</v>
      </c>
      <c r="T35">
        <v>0.205466054318792</v>
      </c>
      <c r="U35">
        <v>8.7922617558066393E-2</v>
      </c>
      <c r="V35">
        <v>4.5415403816846903E-2</v>
      </c>
      <c r="W35">
        <v>2.3594141378458999E-2</v>
      </c>
    </row>
    <row r="36" spans="1:23">
      <c r="A36">
        <v>30</v>
      </c>
      <c r="B36">
        <v>37</v>
      </c>
      <c r="C36">
        <v>37</v>
      </c>
      <c r="D36" t="s">
        <v>700</v>
      </c>
      <c r="E36">
        <v>2</v>
      </c>
      <c r="F36">
        <v>18.152764070156199</v>
      </c>
      <c r="G36">
        <v>7.37819675781041</v>
      </c>
      <c r="H36">
        <v>2.4283577908328402</v>
      </c>
      <c r="I36">
        <v>1.24735286323357</v>
      </c>
      <c r="J36">
        <v>61.414666762560103</v>
      </c>
      <c r="K36">
        <v>23.715575460102201</v>
      </c>
      <c r="L36">
        <v>6.3628054095392699</v>
      </c>
      <c r="M36">
        <v>2.2195903134046402</v>
      </c>
      <c r="N36">
        <v>1.19971337289528</v>
      </c>
      <c r="O36">
        <v>107.052559349701</v>
      </c>
      <c r="P36">
        <v>0.29557701811422299</v>
      </c>
      <c r="Q36">
        <v>0.120137373476857</v>
      </c>
      <c r="R36">
        <v>3.9540356055684497E-2</v>
      </c>
      <c r="S36">
        <v>2.0310341633148599E-2</v>
      </c>
      <c r="T36">
        <v>0.22153207362966601</v>
      </c>
      <c r="U36">
        <v>5.9436275491128898E-2</v>
      </c>
      <c r="V36">
        <v>2.0733650151735901E-2</v>
      </c>
      <c r="W36">
        <v>1.1206769648320699E-2</v>
      </c>
    </row>
    <row r="37" spans="1:23">
      <c r="A37">
        <v>19</v>
      </c>
      <c r="B37">
        <v>38</v>
      </c>
      <c r="C37">
        <v>38</v>
      </c>
      <c r="D37" t="s">
        <v>702</v>
      </c>
      <c r="E37">
        <v>2</v>
      </c>
      <c r="F37">
        <v>20.818786837591698</v>
      </c>
      <c r="G37">
        <v>6.7074984741799604</v>
      </c>
      <c r="H37">
        <v>2.2442947749294402</v>
      </c>
      <c r="I37">
        <v>0.81468146221764803</v>
      </c>
      <c r="J37">
        <v>81.203582383145303</v>
      </c>
      <c r="K37">
        <v>18.914150882315401</v>
      </c>
      <c r="L37">
        <v>7.0703265371454203</v>
      </c>
      <c r="M37">
        <v>2.2082682913709801</v>
      </c>
      <c r="N37">
        <v>1.29173507655077</v>
      </c>
      <c r="O37">
        <v>94.5267147802831</v>
      </c>
      <c r="P37">
        <v>0.256377689587164</v>
      </c>
      <c r="Q37">
        <v>8.2601016818836595E-2</v>
      </c>
      <c r="R37">
        <v>2.76378788849501E-2</v>
      </c>
      <c r="S37">
        <v>1.00325803161456E-2</v>
      </c>
      <c r="T37">
        <v>0.20009317922747299</v>
      </c>
      <c r="U37">
        <v>7.4797125379630694E-2</v>
      </c>
      <c r="V37">
        <v>2.33613142750582E-2</v>
      </c>
      <c r="W37">
        <v>1.36652911248769E-2</v>
      </c>
    </row>
    <row r="38" spans="1:23">
      <c r="B38">
        <v>74</v>
      </c>
      <c r="C38">
        <v>74</v>
      </c>
      <c r="D38" t="s">
        <v>706</v>
      </c>
      <c r="E38">
        <v>2</v>
      </c>
      <c r="F38">
        <v>56.863493583260698</v>
      </c>
      <c r="G38">
        <v>16.2279046887883</v>
      </c>
      <c r="H38">
        <v>4.5356045321984597</v>
      </c>
      <c r="I38">
        <v>1.7521136191862601</v>
      </c>
      <c r="J38">
        <v>233.62902646726599</v>
      </c>
      <c r="K38">
        <v>52.605659077511703</v>
      </c>
      <c r="L38">
        <v>11.7570761473476</v>
      </c>
      <c r="M38">
        <v>3.2689238236321301</v>
      </c>
      <c r="N38">
        <v>1.4251511004342601</v>
      </c>
      <c r="O38">
        <v>176.35270655348501</v>
      </c>
      <c r="P38">
        <v>0.24339224643059501</v>
      </c>
      <c r="Q38">
        <v>6.9460139153822195E-2</v>
      </c>
      <c r="R38">
        <v>1.9413703000786799E-2</v>
      </c>
      <c r="S38">
        <v>7.4995545103286104E-3</v>
      </c>
      <c r="T38">
        <v>0.29829799669990897</v>
      </c>
      <c r="U38">
        <v>6.6667965449012503E-2</v>
      </c>
      <c r="V38">
        <v>1.8536283834354999E-2</v>
      </c>
      <c r="W38">
        <v>8.0812544830551405E-3</v>
      </c>
    </row>
    <row r="39" spans="1:23">
      <c r="A39">
        <v>11</v>
      </c>
      <c r="B39">
        <v>40</v>
      </c>
      <c r="C39">
        <v>40</v>
      </c>
      <c r="D39" t="s">
        <v>708</v>
      </c>
      <c r="E39">
        <v>2</v>
      </c>
      <c r="F39">
        <v>29.543471987535199</v>
      </c>
      <c r="G39">
        <v>11.2631908591376</v>
      </c>
      <c r="H39">
        <v>3.61826477041935</v>
      </c>
      <c r="I39">
        <v>1.5551644714641299</v>
      </c>
      <c r="J39">
        <v>131.687673835814</v>
      </c>
      <c r="K39">
        <v>51.075346933573798</v>
      </c>
      <c r="L39">
        <v>14.2466879584975</v>
      </c>
      <c r="M39">
        <v>5.2343116996530199</v>
      </c>
      <c r="N39">
        <v>2.6647991943837099</v>
      </c>
      <c r="O39">
        <v>188.53917293005401</v>
      </c>
      <c r="P39">
        <v>0.22434500608135599</v>
      </c>
      <c r="Q39">
        <v>8.5529575631963603E-2</v>
      </c>
      <c r="R39">
        <v>2.7476108165829901E-2</v>
      </c>
      <c r="S39">
        <v>1.18094915504627E-2</v>
      </c>
      <c r="T39">
        <v>0.27090045076479902</v>
      </c>
      <c r="U39">
        <v>7.5563543305575298E-2</v>
      </c>
      <c r="V39">
        <v>2.7762462401354202E-2</v>
      </c>
      <c r="W39">
        <v>1.4133928525146999E-2</v>
      </c>
    </row>
    <row r="40" spans="1:23">
      <c r="B40">
        <v>75</v>
      </c>
      <c r="C40">
        <v>75</v>
      </c>
      <c r="D40" t="s">
        <v>512</v>
      </c>
      <c r="E40">
        <v>1</v>
      </c>
      <c r="F40">
        <v>36.130959869809601</v>
      </c>
      <c r="G40">
        <v>9.5611627765815506</v>
      </c>
      <c r="H40">
        <v>3.0845861241115098</v>
      </c>
      <c r="I40">
        <v>1.64339787863151</v>
      </c>
      <c r="J40">
        <v>137.379275894215</v>
      </c>
      <c r="K40">
        <v>40.935219434540699</v>
      </c>
      <c r="L40">
        <v>6.7441949577202802</v>
      </c>
      <c r="M40">
        <v>2.8115559735728701</v>
      </c>
      <c r="N40">
        <v>1.8899774528011699</v>
      </c>
      <c r="O40">
        <v>168.49181810835901</v>
      </c>
      <c r="P40">
        <v>0.263001530868683</v>
      </c>
      <c r="Q40">
        <v>6.9596834852615294E-2</v>
      </c>
      <c r="R40">
        <v>2.2453067276950199E-2</v>
      </c>
      <c r="S40">
        <v>1.1962487558144899E-2</v>
      </c>
      <c r="T40">
        <v>0.242950784756889</v>
      </c>
      <c r="U40">
        <v>4.0026839483582703E-2</v>
      </c>
      <c r="V40">
        <v>1.6686602383058899E-2</v>
      </c>
      <c r="W40">
        <v>1.12170280671178E-2</v>
      </c>
    </row>
    <row r="41" spans="1:23">
      <c r="A41">
        <v>73</v>
      </c>
      <c r="B41">
        <v>55</v>
      </c>
      <c r="C41">
        <v>55</v>
      </c>
      <c r="D41" t="s">
        <v>217</v>
      </c>
      <c r="E41">
        <v>1</v>
      </c>
      <c r="F41">
        <v>55.6176536297612</v>
      </c>
      <c r="G41">
        <v>19.8040567940836</v>
      </c>
      <c r="H41">
        <v>6.1274763825363801</v>
      </c>
      <c r="I41">
        <v>4.7309724791996803</v>
      </c>
      <c r="J41">
        <v>304.24566949732503</v>
      </c>
      <c r="K41">
        <v>133.05735843074899</v>
      </c>
      <c r="L41">
        <v>63.705786304160398</v>
      </c>
      <c r="M41">
        <v>15.8775485614531</v>
      </c>
      <c r="N41">
        <v>5.5698814350707</v>
      </c>
      <c r="O41">
        <v>531.91655186185199</v>
      </c>
      <c r="P41">
        <v>0.182805078940491</v>
      </c>
      <c r="Q41">
        <v>6.5092321040440507E-2</v>
      </c>
      <c r="R41">
        <v>2.0139896790183399E-2</v>
      </c>
      <c r="S41">
        <v>1.5549843279663401E-2</v>
      </c>
      <c r="T41">
        <v>0.250147054016296</v>
      </c>
      <c r="U41">
        <v>0.119766504879709</v>
      </c>
      <c r="V41">
        <v>2.9849698239089201E-2</v>
      </c>
      <c r="W41">
        <v>1.04713444535136E-2</v>
      </c>
    </row>
    <row r="42" spans="1:23">
      <c r="A42">
        <v>20</v>
      </c>
      <c r="B42">
        <v>56</v>
      </c>
      <c r="C42">
        <v>56</v>
      </c>
      <c r="D42" t="s">
        <v>712</v>
      </c>
      <c r="E42">
        <v>1</v>
      </c>
      <c r="F42">
        <v>93.141209343313704</v>
      </c>
      <c r="G42">
        <v>29.623671505091</v>
      </c>
      <c r="H42">
        <v>15.2916896710804</v>
      </c>
      <c r="I42">
        <v>7.3233897414151601</v>
      </c>
      <c r="J42">
        <v>403.83099335415301</v>
      </c>
      <c r="K42">
        <v>76.903606227331693</v>
      </c>
      <c r="L42">
        <v>22.292231335366399</v>
      </c>
      <c r="M42">
        <v>14.064543797883999</v>
      </c>
      <c r="N42">
        <v>8.21795529449086</v>
      </c>
      <c r="O42">
        <v>319.63969033836202</v>
      </c>
      <c r="P42">
        <v>0.23064403395514099</v>
      </c>
      <c r="Q42">
        <v>7.3356607077237096E-2</v>
      </c>
      <c r="R42">
        <v>3.7866557849040097E-2</v>
      </c>
      <c r="S42">
        <v>1.8134788715913799E-2</v>
      </c>
      <c r="T42">
        <v>0.240594671287297</v>
      </c>
      <c r="U42">
        <v>6.9741749880211701E-2</v>
      </c>
      <c r="V42">
        <v>4.4001243346831198E-2</v>
      </c>
      <c r="W42">
        <v>2.5710058991083199E-2</v>
      </c>
    </row>
    <row r="43" spans="1:23">
      <c r="A43">
        <v>10</v>
      </c>
      <c r="B43">
        <v>14</v>
      </c>
      <c r="C43">
        <v>14</v>
      </c>
      <c r="D43" t="s">
        <v>714</v>
      </c>
      <c r="E43">
        <v>3</v>
      </c>
      <c r="F43">
        <v>24.5584768341913</v>
      </c>
      <c r="G43">
        <v>8.8369102368567294</v>
      </c>
      <c r="H43">
        <v>3.3344400661339302</v>
      </c>
      <c r="I43">
        <v>1.72720319298001</v>
      </c>
      <c r="J43">
        <v>94.678125371460098</v>
      </c>
      <c r="K43">
        <v>48.608475303491197</v>
      </c>
      <c r="L43">
        <v>9.4711676033177898</v>
      </c>
      <c r="M43">
        <v>3.4002812417323001</v>
      </c>
      <c r="N43">
        <v>2.0184107970663998</v>
      </c>
      <c r="O43">
        <v>190.37852218355999</v>
      </c>
      <c r="P43">
        <v>0.259389132789</v>
      </c>
      <c r="Q43">
        <v>9.3336345667872106E-2</v>
      </c>
      <c r="R43">
        <v>3.5218695480625499E-2</v>
      </c>
      <c r="S43">
        <v>1.8242895982609499E-2</v>
      </c>
      <c r="T43">
        <v>0.25532541562972899</v>
      </c>
      <c r="U43">
        <v>4.9749139213223902E-2</v>
      </c>
      <c r="V43">
        <v>1.7860634712007099E-2</v>
      </c>
      <c r="W43">
        <v>1.0602092998286201E-2</v>
      </c>
    </row>
    <row r="44" spans="1:23">
      <c r="A44">
        <v>37</v>
      </c>
      <c r="B44">
        <v>57</v>
      </c>
      <c r="C44">
        <v>57</v>
      </c>
      <c r="D44" t="s">
        <v>718</v>
      </c>
      <c r="E44">
        <v>1</v>
      </c>
      <c r="F44">
        <v>36.642259777650303</v>
      </c>
      <c r="G44">
        <v>6.7758338141738701</v>
      </c>
      <c r="H44">
        <v>3.44680583500794</v>
      </c>
      <c r="I44">
        <v>2.4449668058056</v>
      </c>
      <c r="J44">
        <v>182.61910457981401</v>
      </c>
      <c r="K44">
        <v>30.6883353023232</v>
      </c>
      <c r="L44">
        <v>6.9938834732894302</v>
      </c>
      <c r="M44">
        <v>2.97837819346723</v>
      </c>
      <c r="N44">
        <v>1.9707592491799399</v>
      </c>
      <c r="O44">
        <v>141.14868059052301</v>
      </c>
      <c r="P44">
        <v>0.20064855679782201</v>
      </c>
      <c r="Q44">
        <v>3.7103641646717603E-2</v>
      </c>
      <c r="R44">
        <v>1.8874289428472701E-2</v>
      </c>
      <c r="S44">
        <v>1.33883407841211E-2</v>
      </c>
      <c r="T44">
        <v>0.21741850631498999</v>
      </c>
      <c r="U44">
        <v>4.9549761599110502E-2</v>
      </c>
      <c r="V44">
        <v>2.11009991804854E-2</v>
      </c>
      <c r="W44">
        <v>1.3962293100685599E-2</v>
      </c>
    </row>
    <row r="45" spans="1:23">
      <c r="A45">
        <v>74</v>
      </c>
      <c r="B45">
        <v>58</v>
      </c>
      <c r="C45">
        <v>58</v>
      </c>
      <c r="D45" t="s">
        <v>216</v>
      </c>
      <c r="E45">
        <v>1</v>
      </c>
      <c r="F45">
        <v>28.657925379459101</v>
      </c>
      <c r="G45">
        <v>11.038803721898599</v>
      </c>
      <c r="H45">
        <v>4.7051607331545</v>
      </c>
      <c r="I45">
        <v>2.1683806299211899</v>
      </c>
      <c r="J45">
        <v>137.60922462364999</v>
      </c>
      <c r="K45">
        <v>35.965648654994403</v>
      </c>
      <c r="L45">
        <v>19.1642396324449</v>
      </c>
      <c r="M45">
        <v>7.24297554580974</v>
      </c>
      <c r="N45">
        <v>3.5580302802511401</v>
      </c>
      <c r="O45">
        <v>203.26186763461499</v>
      </c>
      <c r="P45">
        <v>0.20825584518651399</v>
      </c>
      <c r="Q45">
        <v>8.0218486457495006E-2</v>
      </c>
      <c r="R45">
        <v>3.4192189847902503E-2</v>
      </c>
      <c r="S45">
        <v>1.5757523784117902E-2</v>
      </c>
      <c r="T45">
        <v>0.176942429357416</v>
      </c>
      <c r="U45">
        <v>9.4283496729916094E-2</v>
      </c>
      <c r="V45">
        <v>3.5633715413998603E-2</v>
      </c>
      <c r="W45">
        <v>1.7504661949909201E-2</v>
      </c>
    </row>
    <row r="46" spans="1:23">
      <c r="A46">
        <v>5</v>
      </c>
      <c r="B46">
        <v>15</v>
      </c>
      <c r="C46">
        <v>15</v>
      </c>
      <c r="D46" t="s">
        <v>5</v>
      </c>
      <c r="E46">
        <v>3</v>
      </c>
      <c r="F46">
        <v>58.605545615902798</v>
      </c>
      <c r="G46">
        <v>22.766205193670199</v>
      </c>
      <c r="H46">
        <v>7.69610365708958</v>
      </c>
      <c r="I46">
        <v>3.1728638537010601</v>
      </c>
      <c r="J46">
        <v>265.181680655457</v>
      </c>
      <c r="K46">
        <v>88.587407578591893</v>
      </c>
      <c r="L46">
        <v>23.9167704972207</v>
      </c>
      <c r="M46">
        <v>7.6772230919087896</v>
      </c>
      <c r="N46">
        <v>3.7233637644633202</v>
      </c>
      <c r="O46">
        <v>413.83718631816203</v>
      </c>
      <c r="P46">
        <v>0.22100148649426299</v>
      </c>
      <c r="Q46">
        <v>8.5851349676185504E-2</v>
      </c>
      <c r="R46">
        <v>2.90220034734937E-2</v>
      </c>
      <c r="S46">
        <v>1.19648681834228E-2</v>
      </c>
      <c r="T46">
        <v>0.21406343003329101</v>
      </c>
      <c r="U46">
        <v>5.7792705169885897E-2</v>
      </c>
      <c r="V46">
        <v>1.8551312800600898E-2</v>
      </c>
      <c r="W46">
        <v>8.9971705964595593E-3</v>
      </c>
    </row>
    <row r="47" spans="1:23">
      <c r="A47">
        <v>4</v>
      </c>
      <c r="B47">
        <v>16</v>
      </c>
      <c r="C47">
        <v>16</v>
      </c>
      <c r="D47" t="s">
        <v>722</v>
      </c>
      <c r="E47">
        <v>3</v>
      </c>
      <c r="F47">
        <v>50.0305687353043</v>
      </c>
      <c r="G47">
        <v>12.064820394321501</v>
      </c>
      <c r="H47">
        <v>5.3071249201567996</v>
      </c>
      <c r="I47">
        <v>2.6336370907125199</v>
      </c>
      <c r="J47">
        <v>247.09908817799899</v>
      </c>
      <c r="K47">
        <v>66.041288358262705</v>
      </c>
      <c r="L47">
        <v>15.1523950449214</v>
      </c>
      <c r="M47">
        <v>5.06768319512092</v>
      </c>
      <c r="N47">
        <v>2.5411759105192799</v>
      </c>
      <c r="O47">
        <v>338.672024248605</v>
      </c>
      <c r="P47">
        <v>0.20247168495929299</v>
      </c>
      <c r="Q47">
        <v>4.8825839396180203E-2</v>
      </c>
      <c r="R47">
        <v>2.1477719562986799E-2</v>
      </c>
      <c r="S47">
        <v>1.0658222618836101E-2</v>
      </c>
      <c r="T47">
        <v>0.195000719367905</v>
      </c>
      <c r="U47">
        <v>4.4740616171469301E-2</v>
      </c>
      <c r="V47">
        <v>1.4963394766262E-2</v>
      </c>
      <c r="W47">
        <v>7.5033534764415797E-3</v>
      </c>
    </row>
    <row r="48" spans="1:23">
      <c r="A48">
        <v>2</v>
      </c>
      <c r="B48">
        <v>59</v>
      </c>
      <c r="C48">
        <v>59</v>
      </c>
      <c r="D48" t="s">
        <v>724</v>
      </c>
      <c r="E48">
        <v>1</v>
      </c>
      <c r="F48">
        <v>57.8139200803476</v>
      </c>
      <c r="G48">
        <v>11.704536931700099</v>
      </c>
      <c r="H48">
        <v>5.3722016998955802</v>
      </c>
      <c r="I48">
        <v>3.6208697149811901</v>
      </c>
      <c r="J48">
        <v>278.54849962155998</v>
      </c>
      <c r="K48">
        <v>40.8074155018287</v>
      </c>
      <c r="L48">
        <v>9.62068040553096</v>
      </c>
      <c r="M48">
        <v>4.3136868552516896</v>
      </c>
      <c r="N48">
        <v>2.8751512905732599</v>
      </c>
      <c r="O48">
        <v>224.25159125854501</v>
      </c>
      <c r="P48">
        <v>0.20755423259825301</v>
      </c>
      <c r="Q48">
        <v>4.2019745026815901E-2</v>
      </c>
      <c r="R48">
        <v>1.9286414061444698E-2</v>
      </c>
      <c r="S48">
        <v>1.2999063789252301E-2</v>
      </c>
      <c r="T48">
        <v>0.181971576089201</v>
      </c>
      <c r="U48">
        <v>4.2901280439250303E-2</v>
      </c>
      <c r="V48">
        <v>1.9235925288388901E-2</v>
      </c>
      <c r="W48">
        <v>1.2821096494510201E-2</v>
      </c>
    </row>
    <row r="49" spans="1:23">
      <c r="A49">
        <v>58</v>
      </c>
      <c r="B49">
        <v>60</v>
      </c>
      <c r="C49">
        <v>60</v>
      </c>
      <c r="D49" t="s">
        <v>46</v>
      </c>
      <c r="E49">
        <v>1</v>
      </c>
      <c r="F49">
        <v>29.6138834295161</v>
      </c>
      <c r="G49">
        <v>8.2759292993889506</v>
      </c>
      <c r="H49">
        <v>4.2008842030637101</v>
      </c>
      <c r="I49">
        <v>2.3911913777998701</v>
      </c>
      <c r="J49">
        <v>204.243023841114</v>
      </c>
      <c r="K49">
        <v>45.943018919951797</v>
      </c>
      <c r="L49">
        <v>8.4088024749862509</v>
      </c>
      <c r="M49">
        <v>3.3215164657071701</v>
      </c>
      <c r="N49">
        <v>2.4320945517344601</v>
      </c>
      <c r="O49">
        <v>218.07499981587699</v>
      </c>
      <c r="P49">
        <v>0.14499336561210299</v>
      </c>
      <c r="Q49">
        <v>4.0520009661759698E-2</v>
      </c>
      <c r="R49">
        <v>2.0568067021626599E-2</v>
      </c>
      <c r="S49">
        <v>1.1707579200648899E-2</v>
      </c>
      <c r="T49">
        <v>0.210675313349728</v>
      </c>
      <c r="U49">
        <v>3.8559222662322E-2</v>
      </c>
      <c r="V49">
        <v>1.5231074027337199E-2</v>
      </c>
      <c r="W49">
        <v>1.11525601457659E-2</v>
      </c>
    </row>
    <row r="50" spans="1:23">
      <c r="B50">
        <v>76</v>
      </c>
      <c r="C50">
        <v>77</v>
      </c>
      <c r="D50" t="s">
        <v>728</v>
      </c>
      <c r="E50">
        <v>3</v>
      </c>
      <c r="F50">
        <v>24.464412113846802</v>
      </c>
      <c r="G50">
        <v>7.85270636267472</v>
      </c>
      <c r="H50">
        <v>2.2029554225194801</v>
      </c>
      <c r="I50">
        <v>0.77193938843927801</v>
      </c>
      <c r="J50">
        <v>96.678045490950097</v>
      </c>
      <c r="K50">
        <v>42.879209307369301</v>
      </c>
      <c r="L50">
        <v>10.7639422897104</v>
      </c>
      <c r="M50">
        <v>3.9628642122961999</v>
      </c>
      <c r="N50">
        <v>2.3996016589827098</v>
      </c>
      <c r="O50">
        <v>173.10309724512501</v>
      </c>
      <c r="P50">
        <v>0.25305033826047801</v>
      </c>
      <c r="Q50">
        <v>8.1225332212676998E-2</v>
      </c>
      <c r="R50">
        <v>2.2786511780750598E-2</v>
      </c>
      <c r="S50">
        <v>7.9846399926603601E-3</v>
      </c>
      <c r="T50">
        <v>0.24770908198511099</v>
      </c>
      <c r="U50">
        <v>6.2182262830733498E-2</v>
      </c>
      <c r="V50">
        <v>2.2893086694367602E-2</v>
      </c>
      <c r="W50">
        <v>1.38622687702966E-2</v>
      </c>
    </row>
    <row r="51" spans="1:23">
      <c r="B51">
        <v>77</v>
      </c>
      <c r="C51">
        <v>78</v>
      </c>
      <c r="D51" t="s">
        <v>730</v>
      </c>
      <c r="E51">
        <v>3</v>
      </c>
      <c r="F51">
        <v>9.7494378263446304</v>
      </c>
      <c r="G51">
        <v>3.0878154512434701</v>
      </c>
      <c r="H51">
        <v>1.49950410452526</v>
      </c>
      <c r="I51">
        <v>0.94659662129831201</v>
      </c>
      <c r="J51">
        <v>54.023994046699201</v>
      </c>
      <c r="K51">
        <v>21.009814666880001</v>
      </c>
      <c r="L51">
        <v>7.1314504631679903</v>
      </c>
      <c r="M51">
        <v>3.1918950413277898</v>
      </c>
      <c r="N51">
        <v>2.26308101254472</v>
      </c>
      <c r="O51">
        <v>88.1804911220826</v>
      </c>
      <c r="P51">
        <v>0.180464958179824</v>
      </c>
      <c r="Q51">
        <v>5.7156371085305399E-2</v>
      </c>
      <c r="R51">
        <v>2.77562614720612E-2</v>
      </c>
      <c r="S51">
        <v>1.7521781534331898E-2</v>
      </c>
      <c r="T51">
        <v>0.238259215837125</v>
      </c>
      <c r="U51">
        <v>8.0873335727908002E-2</v>
      </c>
      <c r="V51">
        <v>3.6197292629145499E-2</v>
      </c>
      <c r="W51">
        <v>2.56641915206797E-2</v>
      </c>
    </row>
    <row r="52" spans="1:23">
      <c r="A52">
        <v>62</v>
      </c>
      <c r="B52">
        <v>17</v>
      </c>
      <c r="C52">
        <v>17</v>
      </c>
      <c r="D52" t="s">
        <v>206</v>
      </c>
      <c r="E52">
        <v>3</v>
      </c>
      <c r="F52">
        <v>35.912860971357397</v>
      </c>
      <c r="G52">
        <v>6.0135611313309996</v>
      </c>
      <c r="H52">
        <v>3.68238676850395</v>
      </c>
      <c r="I52">
        <v>1.5443238626834199</v>
      </c>
      <c r="J52">
        <v>238.21013347835199</v>
      </c>
      <c r="K52">
        <v>86.453853055309807</v>
      </c>
      <c r="L52">
        <v>10.721220766433801</v>
      </c>
      <c r="M52">
        <v>3.57001816619732</v>
      </c>
      <c r="N52">
        <v>2.2814830106896702</v>
      </c>
      <c r="O52">
        <v>442.65917446991102</v>
      </c>
      <c r="P52">
        <v>0.150761264632015</v>
      </c>
      <c r="Q52">
        <v>2.52447746177746E-2</v>
      </c>
      <c r="R52">
        <v>1.54585647333034E-2</v>
      </c>
      <c r="S52">
        <v>6.48303176751197E-3</v>
      </c>
      <c r="T52">
        <v>0.19530568446669899</v>
      </c>
      <c r="U52">
        <v>2.42200351529426E-2</v>
      </c>
      <c r="V52">
        <v>8.0649365744479406E-3</v>
      </c>
      <c r="W52">
        <v>5.1540398172516501E-3</v>
      </c>
    </row>
    <row r="53" spans="1:23">
      <c r="B53">
        <v>78</v>
      </c>
      <c r="C53">
        <v>79</v>
      </c>
      <c r="D53" t="s">
        <v>733</v>
      </c>
      <c r="E53">
        <v>3</v>
      </c>
      <c r="F53">
        <v>27.843671199006899</v>
      </c>
      <c r="G53">
        <v>8.8574346562513497</v>
      </c>
      <c r="H53">
        <v>2.4126489007422198</v>
      </c>
      <c r="I53">
        <v>1.1379899354856999</v>
      </c>
      <c r="J53">
        <v>98.958425745873996</v>
      </c>
      <c r="K53">
        <v>41.716119360635297</v>
      </c>
      <c r="L53">
        <v>10.2668372550184</v>
      </c>
      <c r="M53">
        <v>3.8645461687255298</v>
      </c>
      <c r="N53">
        <v>2.4735727517141601</v>
      </c>
      <c r="O53">
        <v>211.368888424251</v>
      </c>
      <c r="P53">
        <v>0.281367361992092</v>
      </c>
      <c r="Q53">
        <v>8.9506624519243197E-2</v>
      </c>
      <c r="R53">
        <v>2.43804292818675E-2</v>
      </c>
      <c r="S53">
        <v>1.1499677030110299E-2</v>
      </c>
      <c r="T53">
        <v>0.19736168208873001</v>
      </c>
      <c r="U53">
        <v>4.8573076821084499E-2</v>
      </c>
      <c r="V53">
        <v>1.8283420031848598E-2</v>
      </c>
      <c r="W53">
        <v>1.17026340543992E-2</v>
      </c>
    </row>
    <row r="54" spans="1:23">
      <c r="A54">
        <v>26</v>
      </c>
      <c r="B54">
        <v>18</v>
      </c>
      <c r="C54">
        <v>18</v>
      </c>
      <c r="D54" t="s">
        <v>735</v>
      </c>
      <c r="E54">
        <v>3</v>
      </c>
      <c r="F54">
        <v>50.053895144424303</v>
      </c>
      <c r="G54">
        <v>28.016830201343801</v>
      </c>
      <c r="H54">
        <v>10.225709057767601</v>
      </c>
      <c r="I54">
        <v>3.7414746244564601</v>
      </c>
      <c r="J54">
        <v>202.046888129054</v>
      </c>
      <c r="K54">
        <v>15.1689346800278</v>
      </c>
      <c r="L54">
        <v>10.651344186594701</v>
      </c>
      <c r="M54">
        <v>5.1724327521821198</v>
      </c>
      <c r="N54">
        <v>2.1062657650045402</v>
      </c>
      <c r="O54">
        <v>75.013301692035398</v>
      </c>
      <c r="P54">
        <v>0.247734056227846</v>
      </c>
      <c r="Q54">
        <v>0.13866499237270399</v>
      </c>
      <c r="R54">
        <v>5.0610574369430901E-2</v>
      </c>
      <c r="S54">
        <v>1.8517853252293898E-2</v>
      </c>
      <c r="T54">
        <v>0.20221659809487399</v>
      </c>
      <c r="U54">
        <v>0.141992739238747</v>
      </c>
      <c r="V54">
        <v>6.8953540712251002E-2</v>
      </c>
      <c r="W54">
        <v>2.80785636346437E-2</v>
      </c>
    </row>
    <row r="55" spans="1:23">
      <c r="A55">
        <v>35</v>
      </c>
      <c r="B55">
        <v>21</v>
      </c>
      <c r="C55">
        <v>21</v>
      </c>
      <c r="D55" t="s">
        <v>743</v>
      </c>
      <c r="E55">
        <v>3</v>
      </c>
      <c r="F55">
        <v>48.729269566986503</v>
      </c>
      <c r="G55">
        <v>9.8386983652920694</v>
      </c>
      <c r="H55">
        <v>4.3268986904244198</v>
      </c>
      <c r="I55">
        <v>2.4744968511362799</v>
      </c>
      <c r="J55">
        <v>258.17149867199998</v>
      </c>
      <c r="K55">
        <v>84.243916138028396</v>
      </c>
      <c r="L55">
        <v>14.4833102983158</v>
      </c>
      <c r="M55">
        <v>3.9986811889663998</v>
      </c>
      <c r="N55">
        <v>2.93737646043322</v>
      </c>
      <c r="O55">
        <v>408.57573950772098</v>
      </c>
      <c r="P55">
        <v>0.18874767283624799</v>
      </c>
      <c r="Q55">
        <v>3.81091577339134E-2</v>
      </c>
      <c r="R55">
        <v>1.67597845334648E-2</v>
      </c>
      <c r="S55">
        <v>9.5847018894988697E-3</v>
      </c>
      <c r="T55">
        <v>0.206189227582458</v>
      </c>
      <c r="U55">
        <v>3.5448287545820099E-2</v>
      </c>
      <c r="V55">
        <v>9.7868786673048196E-3</v>
      </c>
      <c r="W55">
        <v>7.1893070889925302E-3</v>
      </c>
    </row>
    <row r="56" spans="1:23">
      <c r="A56">
        <v>64</v>
      </c>
      <c r="B56">
        <v>20</v>
      </c>
      <c r="C56">
        <v>20</v>
      </c>
      <c r="D56" t="s">
        <v>209</v>
      </c>
      <c r="E56">
        <v>3</v>
      </c>
      <c r="F56">
        <v>48.181835679280901</v>
      </c>
      <c r="G56">
        <v>9.8986812748671191</v>
      </c>
      <c r="H56">
        <v>4.0923647813222299</v>
      </c>
      <c r="I56">
        <v>2.5665544322637199</v>
      </c>
      <c r="J56">
        <v>234.901730504271</v>
      </c>
      <c r="K56">
        <v>85.499422375072299</v>
      </c>
      <c r="L56">
        <v>22.336958880664</v>
      </c>
      <c r="M56">
        <v>8.9515189242351507</v>
      </c>
      <c r="N56">
        <v>5.1192726719089698</v>
      </c>
      <c r="O56">
        <v>353.81335106897097</v>
      </c>
      <c r="P56">
        <v>0.20511486048164701</v>
      </c>
      <c r="Q56">
        <v>4.2139669442269698E-2</v>
      </c>
      <c r="R56">
        <v>1.7421603376599301E-2</v>
      </c>
      <c r="S56">
        <v>1.09260771589635E-2</v>
      </c>
      <c r="T56">
        <v>0.24165120427692799</v>
      </c>
      <c r="U56">
        <v>6.3132040702188502E-2</v>
      </c>
      <c r="V56">
        <v>2.5300116282186799E-2</v>
      </c>
      <c r="W56">
        <v>1.4468851038103E-2</v>
      </c>
    </row>
    <row r="57" spans="1:23">
      <c r="A57">
        <v>44</v>
      </c>
      <c r="B57">
        <v>41</v>
      </c>
      <c r="C57">
        <v>41</v>
      </c>
      <c r="D57" t="s">
        <v>737</v>
      </c>
      <c r="E57">
        <v>2</v>
      </c>
      <c r="F57">
        <v>74.326702362830105</v>
      </c>
      <c r="G57">
        <v>42.219683299509001</v>
      </c>
      <c r="H57">
        <v>17.666143904159998</v>
      </c>
      <c r="I57">
        <v>7.7123029593728702</v>
      </c>
      <c r="J57">
        <v>387.38030917367399</v>
      </c>
      <c r="K57">
        <v>93.306900971043703</v>
      </c>
      <c r="L57">
        <v>41.366983293192703</v>
      </c>
      <c r="M57">
        <v>17.2906039004632</v>
      </c>
      <c r="N57">
        <v>8.2295919835282501</v>
      </c>
      <c r="O57">
        <v>451.62987722823902</v>
      </c>
      <c r="P57">
        <v>0.19187010956075001</v>
      </c>
      <c r="Q57">
        <v>0.108987685485533</v>
      </c>
      <c r="R57">
        <v>4.5604134969699103E-2</v>
      </c>
      <c r="S57">
        <v>1.9908866756351399E-2</v>
      </c>
      <c r="T57">
        <v>0.20660037272930301</v>
      </c>
      <c r="U57">
        <v>9.1594877529077204E-2</v>
      </c>
      <c r="V57">
        <v>3.82848982591227E-2</v>
      </c>
      <c r="W57">
        <v>1.8221983084988201E-2</v>
      </c>
    </row>
    <row r="58" spans="1:23">
      <c r="A58">
        <v>59</v>
      </c>
      <c r="B58">
        <v>19</v>
      </c>
      <c r="C58">
        <v>19</v>
      </c>
      <c r="D58" t="s">
        <v>202</v>
      </c>
      <c r="E58">
        <v>3</v>
      </c>
      <c r="F58">
        <v>16.793087690398899</v>
      </c>
      <c r="G58">
        <v>7.0420019096730098</v>
      </c>
      <c r="H58">
        <v>2.9897697384268498</v>
      </c>
      <c r="I58">
        <v>1.2926805662937699</v>
      </c>
      <c r="J58">
        <v>120.60533471220199</v>
      </c>
      <c r="K58">
        <v>35.554766088614301</v>
      </c>
      <c r="L58">
        <v>12.205736154423599</v>
      </c>
      <c r="M58">
        <v>4.4785444159362502</v>
      </c>
      <c r="N58">
        <v>2.3543403221844499</v>
      </c>
      <c r="O58">
        <v>197.718309503667</v>
      </c>
      <c r="P58">
        <v>0.13924000733858</v>
      </c>
      <c r="Q58">
        <v>5.83888094708018E-2</v>
      </c>
      <c r="R58">
        <v>2.4789697284629101E-2</v>
      </c>
      <c r="S58">
        <v>1.07182702106708E-2</v>
      </c>
      <c r="T58">
        <v>0.17982535951206299</v>
      </c>
      <c r="U58">
        <v>6.17329582933605E-2</v>
      </c>
      <c r="V58">
        <v>2.2651136494029101E-2</v>
      </c>
      <c r="W58">
        <v>1.1907548309989901E-2</v>
      </c>
    </row>
    <row r="59" spans="1:23">
      <c r="A59">
        <v>21</v>
      </c>
      <c r="B59">
        <v>61</v>
      </c>
      <c r="C59">
        <v>61</v>
      </c>
      <c r="D59" t="s">
        <v>741</v>
      </c>
      <c r="E59">
        <v>1</v>
      </c>
      <c r="F59">
        <v>44.742443940626799</v>
      </c>
      <c r="G59">
        <v>18.799083113425201</v>
      </c>
      <c r="H59">
        <v>6.9589617580930296</v>
      </c>
      <c r="I59">
        <v>3.10395005804983</v>
      </c>
      <c r="J59">
        <v>203.14440756818499</v>
      </c>
      <c r="K59">
        <v>35.850836077186997</v>
      </c>
      <c r="L59">
        <v>13.4594148869334</v>
      </c>
      <c r="M59">
        <v>6.6166799977676698</v>
      </c>
      <c r="N59">
        <v>3.88937003677326</v>
      </c>
      <c r="O59">
        <v>177.63894589268901</v>
      </c>
      <c r="P59">
        <v>0.22024944952328601</v>
      </c>
      <c r="Q59">
        <v>9.2540490474074699E-2</v>
      </c>
      <c r="R59">
        <v>3.4256231029925102E-2</v>
      </c>
      <c r="S59">
        <v>1.5279525019698099E-2</v>
      </c>
      <c r="T59">
        <v>0.201818558970984</v>
      </c>
      <c r="U59">
        <v>7.5768378489839597E-2</v>
      </c>
      <c r="V59">
        <v>3.7247912976047397E-2</v>
      </c>
      <c r="W59">
        <v>2.18948047525728E-2</v>
      </c>
    </row>
    <row r="60" spans="1:23">
      <c r="A60">
        <v>52</v>
      </c>
      <c r="B60">
        <v>62</v>
      </c>
      <c r="C60">
        <v>62</v>
      </c>
      <c r="D60" t="s">
        <v>745</v>
      </c>
      <c r="E60">
        <v>1</v>
      </c>
      <c r="F60">
        <v>22.845151759604299</v>
      </c>
      <c r="G60">
        <v>8.4470221000969108</v>
      </c>
      <c r="H60">
        <v>3.30707940104632</v>
      </c>
      <c r="I60">
        <v>1.8882841914894399</v>
      </c>
      <c r="J60">
        <v>111.195246952758</v>
      </c>
      <c r="K60">
        <v>33.553886750027999</v>
      </c>
      <c r="L60">
        <v>9.5855583003478504</v>
      </c>
      <c r="M60">
        <v>3.65245885399501</v>
      </c>
      <c r="N60">
        <v>2.2199606640898599</v>
      </c>
      <c r="O60">
        <v>128.65955376340901</v>
      </c>
      <c r="P60">
        <v>0.20545079385731499</v>
      </c>
      <c r="Q60">
        <v>7.5965675976111605E-2</v>
      </c>
      <c r="R60">
        <v>2.9741193905989199E-2</v>
      </c>
      <c r="S60">
        <v>1.6981698797716601E-2</v>
      </c>
      <c r="T60">
        <v>0.26079592046254102</v>
      </c>
      <c r="U60">
        <v>7.4503276437400401E-2</v>
      </c>
      <c r="V60">
        <v>2.8388555277531001E-2</v>
      </c>
      <c r="W60">
        <v>1.7254534149653E-2</v>
      </c>
    </row>
    <row r="61" spans="1:23">
      <c r="A61">
        <v>77</v>
      </c>
      <c r="B61">
        <v>42</v>
      </c>
      <c r="C61">
        <v>42</v>
      </c>
      <c r="D61" t="s">
        <v>219</v>
      </c>
      <c r="E61">
        <v>2</v>
      </c>
      <c r="F61">
        <v>22.041424880842001</v>
      </c>
      <c r="G61">
        <v>7.3151617624286001</v>
      </c>
      <c r="H61">
        <v>2.25412631713953</v>
      </c>
      <c r="I61">
        <v>1.45490975700979</v>
      </c>
      <c r="J61">
        <v>112.36194298449399</v>
      </c>
      <c r="K61">
        <v>33.018596642933304</v>
      </c>
      <c r="L61">
        <v>11.481641225809399</v>
      </c>
      <c r="M61">
        <v>4.4019939692227599</v>
      </c>
      <c r="N61">
        <v>2.4567231577180801</v>
      </c>
      <c r="O61">
        <v>222.80958711233899</v>
      </c>
      <c r="P61">
        <v>0.19616450459461801</v>
      </c>
      <c r="Q61">
        <v>6.5103553464166505E-2</v>
      </c>
      <c r="R61">
        <v>2.0061297066130399E-2</v>
      </c>
      <c r="S61">
        <v>1.2948421132327401E-2</v>
      </c>
      <c r="T61">
        <v>0.14819199241316999</v>
      </c>
      <c r="U61">
        <v>5.1531181286290098E-2</v>
      </c>
      <c r="V61">
        <v>1.9756752957866702E-2</v>
      </c>
      <c r="W61">
        <v>1.1026110633558199E-2</v>
      </c>
    </row>
    <row r="62" spans="1:23">
      <c r="A62">
        <v>71</v>
      </c>
      <c r="B62">
        <v>63</v>
      </c>
      <c r="C62">
        <v>63</v>
      </c>
      <c r="D62" t="s">
        <v>820</v>
      </c>
      <c r="E62">
        <v>1</v>
      </c>
      <c r="F62">
        <v>22.172124700499001</v>
      </c>
      <c r="G62">
        <v>8.7612009214650701</v>
      </c>
      <c r="H62">
        <v>2.2915960290854001</v>
      </c>
      <c r="I62">
        <v>0.94007923011787498</v>
      </c>
      <c r="J62">
        <v>88.466557678295302</v>
      </c>
      <c r="K62">
        <v>53.043979653980699</v>
      </c>
      <c r="L62">
        <v>28.510895389603</v>
      </c>
      <c r="M62">
        <v>7.24469120419091</v>
      </c>
      <c r="N62">
        <v>3.4363984274134198</v>
      </c>
      <c r="O62">
        <v>210.7360642692</v>
      </c>
      <c r="P62">
        <v>0.25062718932872902</v>
      </c>
      <c r="Q62">
        <v>9.9034043500650107E-2</v>
      </c>
      <c r="R62">
        <v>2.5903528850062099E-2</v>
      </c>
      <c r="S62">
        <v>1.06263796714735E-2</v>
      </c>
      <c r="T62">
        <v>0.25170812522255698</v>
      </c>
      <c r="U62">
        <v>0.13529196100569801</v>
      </c>
      <c r="V62">
        <v>3.4378032204949699E-2</v>
      </c>
      <c r="W62">
        <v>1.6306646132593899E-2</v>
      </c>
    </row>
    <row r="63" spans="1:23">
      <c r="A63">
        <v>39</v>
      </c>
      <c r="B63">
        <v>64</v>
      </c>
      <c r="C63">
        <v>64</v>
      </c>
      <c r="D63" t="s">
        <v>749</v>
      </c>
      <c r="E63">
        <v>1</v>
      </c>
      <c r="F63">
        <v>130.593563664188</v>
      </c>
      <c r="G63">
        <v>72.670515685975602</v>
      </c>
      <c r="H63">
        <v>70.206192963781405</v>
      </c>
      <c r="I63">
        <v>16.493971979250901</v>
      </c>
      <c r="J63">
        <v>540.58703543709805</v>
      </c>
      <c r="K63">
        <v>65.251091419824704</v>
      </c>
      <c r="L63">
        <v>44.241863366155997</v>
      </c>
      <c r="M63">
        <v>51.380723063006002</v>
      </c>
      <c r="N63">
        <v>29.280340760602702</v>
      </c>
      <c r="O63">
        <v>383.39051126648098</v>
      </c>
      <c r="P63">
        <v>0.24157731337118701</v>
      </c>
      <c r="Q63">
        <v>0.13442889104289599</v>
      </c>
      <c r="R63">
        <v>0.129870286117786</v>
      </c>
      <c r="S63">
        <v>3.05112237216612E-2</v>
      </c>
      <c r="T63">
        <v>0.170194852252019</v>
      </c>
      <c r="U63">
        <v>0.11539634410880099</v>
      </c>
      <c r="V63">
        <v>0.134016678955555</v>
      </c>
      <c r="W63">
        <v>7.6372105986345001E-2</v>
      </c>
    </row>
    <row r="64" spans="1:23">
      <c r="A64">
        <v>22</v>
      </c>
      <c r="B64">
        <v>65</v>
      </c>
      <c r="C64">
        <v>65</v>
      </c>
      <c r="D64" t="s">
        <v>751</v>
      </c>
      <c r="E64">
        <v>1</v>
      </c>
      <c r="F64">
        <v>46.691831286800998</v>
      </c>
      <c r="G64">
        <v>8.6038251114172208</v>
      </c>
      <c r="H64">
        <v>3.2259735717784799</v>
      </c>
      <c r="I64">
        <v>1.95440183214424</v>
      </c>
      <c r="J64">
        <v>235.54126664742799</v>
      </c>
      <c r="K64">
        <v>51.225496223116401</v>
      </c>
      <c r="L64">
        <v>14.9080133915869</v>
      </c>
      <c r="M64">
        <v>5.0484478529755004</v>
      </c>
      <c r="N64">
        <v>3.8686790525919701</v>
      </c>
      <c r="O64">
        <v>252.02371543768899</v>
      </c>
      <c r="P64">
        <v>0.19823206332965901</v>
      </c>
      <c r="Q64">
        <v>3.6527888441289298E-2</v>
      </c>
      <c r="R64">
        <v>1.36960016293336E-2</v>
      </c>
      <c r="S64">
        <v>8.2974922397343904E-3</v>
      </c>
      <c r="T64">
        <v>0.20325665040749499</v>
      </c>
      <c r="U64">
        <v>5.91532164570156E-2</v>
      </c>
      <c r="V64">
        <v>2.0031638071075501E-2</v>
      </c>
      <c r="W64">
        <v>1.53504563880952E-2</v>
      </c>
    </row>
    <row r="65" spans="1:23">
      <c r="A65">
        <v>79</v>
      </c>
      <c r="B65">
        <v>23</v>
      </c>
      <c r="C65">
        <v>23</v>
      </c>
      <c r="D65" t="s">
        <v>223</v>
      </c>
      <c r="E65">
        <v>3</v>
      </c>
      <c r="F65">
        <v>19.252755690818699</v>
      </c>
      <c r="G65">
        <v>9.1094358732811305</v>
      </c>
      <c r="H65">
        <v>2.8511500186614702</v>
      </c>
      <c r="I65">
        <v>1.1692666052882099</v>
      </c>
      <c r="J65">
        <v>102.70163149114001</v>
      </c>
      <c r="K65">
        <v>31.3968216414846</v>
      </c>
      <c r="L65">
        <v>11.658825769959</v>
      </c>
      <c r="M65">
        <v>3.3122144975930699</v>
      </c>
      <c r="N65">
        <v>1.4577939767586801</v>
      </c>
      <c r="O65">
        <v>148.02163040122599</v>
      </c>
      <c r="P65">
        <v>0.187462997532611</v>
      </c>
      <c r="Q65">
        <v>8.8698063906287705E-2</v>
      </c>
      <c r="R65">
        <v>2.7761487108483199E-2</v>
      </c>
      <c r="S65">
        <v>1.1385083063544899E-2</v>
      </c>
      <c r="T65">
        <v>0.212109686647692</v>
      </c>
      <c r="U65">
        <v>7.8764338281889404E-2</v>
      </c>
      <c r="V65">
        <v>2.23765573221631E-2</v>
      </c>
      <c r="W65">
        <v>9.8485199278456701E-3</v>
      </c>
    </row>
    <row r="66" spans="1:23">
      <c r="A66">
        <v>63</v>
      </c>
      <c r="B66">
        <v>22</v>
      </c>
      <c r="C66">
        <v>22</v>
      </c>
      <c r="D66" t="s">
        <v>753</v>
      </c>
      <c r="E66">
        <v>3</v>
      </c>
      <c r="F66">
        <v>67.809212281230799</v>
      </c>
      <c r="G66">
        <v>47.963839129495</v>
      </c>
      <c r="H66">
        <v>16.042149649513401</v>
      </c>
      <c r="I66">
        <v>5.7615459690726896</v>
      </c>
      <c r="J66">
        <v>279.83266572689001</v>
      </c>
      <c r="K66">
        <v>93.884559568410396</v>
      </c>
      <c r="L66">
        <v>64.422892245239396</v>
      </c>
      <c r="M66">
        <v>20.9823909788708</v>
      </c>
      <c r="N66">
        <v>7.7271192066701904</v>
      </c>
      <c r="O66">
        <v>383.608984331339</v>
      </c>
      <c r="P66">
        <v>0.24232057435142601</v>
      </c>
      <c r="Q66">
        <v>0.171401859053533</v>
      </c>
      <c r="R66">
        <v>5.73276518945438E-2</v>
      </c>
      <c r="S66">
        <v>2.0589254489309001E-2</v>
      </c>
      <c r="T66">
        <v>0.24474025219210799</v>
      </c>
      <c r="U66">
        <v>0.16793895575082399</v>
      </c>
      <c r="V66">
        <v>5.4697339832759102E-2</v>
      </c>
      <c r="W66">
        <v>2.0143217500860101E-2</v>
      </c>
    </row>
    <row r="67" spans="1:23">
      <c r="A67">
        <v>75</v>
      </c>
      <c r="B67">
        <v>66</v>
      </c>
      <c r="C67">
        <v>66</v>
      </c>
      <c r="D67" t="s">
        <v>218</v>
      </c>
      <c r="E67">
        <v>1</v>
      </c>
      <c r="F67">
        <v>34.376800794226199</v>
      </c>
      <c r="G67">
        <v>9.1658711858618496</v>
      </c>
      <c r="H67">
        <v>3.37626139439968</v>
      </c>
      <c r="I67">
        <v>1.5523551150391599</v>
      </c>
      <c r="J67">
        <v>163.84624114146899</v>
      </c>
      <c r="K67">
        <v>38.366311296221298</v>
      </c>
      <c r="L67">
        <v>19.3121256266611</v>
      </c>
      <c r="M67">
        <v>6.3950512413466498</v>
      </c>
      <c r="N67">
        <v>2.88582158613089</v>
      </c>
      <c r="O67">
        <v>166.047624252774</v>
      </c>
      <c r="P67">
        <v>0.209811348461418</v>
      </c>
      <c r="Q67">
        <v>5.59419070099254E-2</v>
      </c>
      <c r="R67">
        <v>2.06062792217768E-2</v>
      </c>
      <c r="S67">
        <v>9.4744627903841794E-3</v>
      </c>
      <c r="T67">
        <v>0.23105606881683799</v>
      </c>
      <c r="U67">
        <v>0.116304739158823</v>
      </c>
      <c r="V67">
        <v>3.8513355852725098E-2</v>
      </c>
      <c r="W67">
        <v>1.7379481333245801E-2</v>
      </c>
    </row>
    <row r="68" spans="1:23">
      <c r="A68">
        <v>72</v>
      </c>
      <c r="B68">
        <v>67</v>
      </c>
      <c r="C68">
        <v>67</v>
      </c>
      <c r="D68" t="s">
        <v>215</v>
      </c>
      <c r="E68">
        <v>1</v>
      </c>
      <c r="F68">
        <v>18.0402136972703</v>
      </c>
      <c r="G68">
        <v>7.1831547168113898</v>
      </c>
      <c r="H68">
        <v>2.54719778223585</v>
      </c>
      <c r="I68">
        <v>1.17886481499069</v>
      </c>
      <c r="J68">
        <v>76.801116668146605</v>
      </c>
      <c r="K68">
        <v>24.356417179368499</v>
      </c>
      <c r="L68">
        <v>10.9579292149414</v>
      </c>
      <c r="M68">
        <v>4.25459777027634</v>
      </c>
      <c r="N68">
        <v>2.4454618762290501</v>
      </c>
      <c r="O68">
        <v>109.42541197142</v>
      </c>
      <c r="P68">
        <v>0.23489520048544399</v>
      </c>
      <c r="Q68">
        <v>9.3529300463812304E-2</v>
      </c>
      <c r="R68">
        <v>3.31661555552916E-2</v>
      </c>
      <c r="S68">
        <v>1.5349579096414699E-2</v>
      </c>
      <c r="T68">
        <v>0.22258465141287201</v>
      </c>
      <c r="U68">
        <v>0.100140625632768</v>
      </c>
      <c r="V68">
        <v>3.8881258874196099E-2</v>
      </c>
      <c r="W68">
        <v>2.23482080823032E-2</v>
      </c>
    </row>
    <row r="69" spans="1:23">
      <c r="A69">
        <v>24</v>
      </c>
      <c r="B69">
        <v>68</v>
      </c>
      <c r="C69">
        <v>68</v>
      </c>
      <c r="D69" t="s">
        <v>758</v>
      </c>
      <c r="E69">
        <v>1</v>
      </c>
      <c r="F69">
        <v>30.598036361685999</v>
      </c>
      <c r="G69">
        <v>9.8017777635086993</v>
      </c>
      <c r="H69">
        <v>4.5074843054885703</v>
      </c>
      <c r="I69">
        <v>2.0044380547462901</v>
      </c>
      <c r="J69">
        <v>132.952243040393</v>
      </c>
      <c r="K69">
        <v>62.174779599777203</v>
      </c>
      <c r="L69">
        <v>13.7156130416069</v>
      </c>
      <c r="M69">
        <v>5.4106940172485496</v>
      </c>
      <c r="N69">
        <v>2.5049688418757898</v>
      </c>
      <c r="O69">
        <v>216.199877061075</v>
      </c>
      <c r="P69">
        <v>0.23014306236555801</v>
      </c>
      <c r="Q69">
        <v>7.3724049623824395E-2</v>
      </c>
      <c r="R69">
        <v>3.3903033167474499E-2</v>
      </c>
      <c r="S69">
        <v>1.5076376365739899E-2</v>
      </c>
      <c r="T69">
        <v>0.287580087671434</v>
      </c>
      <c r="U69">
        <v>6.3439504351486597E-2</v>
      </c>
      <c r="V69">
        <v>2.5026351035898502E-2</v>
      </c>
      <c r="W69">
        <v>1.15863564583256E-2</v>
      </c>
    </row>
    <row r="70" spans="1:23">
      <c r="B70">
        <v>79</v>
      </c>
      <c r="C70">
        <v>80</v>
      </c>
      <c r="D70" t="s">
        <v>513</v>
      </c>
      <c r="E70">
        <v>2</v>
      </c>
      <c r="F70">
        <v>23.102077933844601</v>
      </c>
      <c r="G70">
        <v>9.1571533191860297</v>
      </c>
      <c r="H70">
        <v>3.33498777638279</v>
      </c>
      <c r="I70">
        <v>1.3019450840240101</v>
      </c>
      <c r="J70">
        <v>127.013205574861</v>
      </c>
      <c r="K70">
        <v>36.5188406760278</v>
      </c>
      <c r="L70">
        <v>14.2509361979487</v>
      </c>
      <c r="M70">
        <v>6.62348131555183</v>
      </c>
      <c r="N70">
        <v>3.4059538262076701</v>
      </c>
      <c r="O70">
        <v>174.39251922169899</v>
      </c>
      <c r="P70">
        <v>0.18188721266646801</v>
      </c>
      <c r="Q70">
        <v>7.2096072827551899E-2</v>
      </c>
      <c r="R70">
        <v>2.62570160424552E-2</v>
      </c>
      <c r="S70">
        <v>1.02504702415108E-2</v>
      </c>
      <c r="T70">
        <v>0.209406004563777</v>
      </c>
      <c r="U70">
        <v>8.1717588928410204E-2</v>
      </c>
      <c r="V70">
        <v>3.7980306409425797E-2</v>
      </c>
      <c r="W70">
        <v>1.9530389499550702E-2</v>
      </c>
    </row>
    <row r="71" spans="1:23">
      <c r="A71">
        <v>6</v>
      </c>
      <c r="B71">
        <v>24</v>
      </c>
      <c r="C71">
        <v>24</v>
      </c>
      <c r="D71" t="s">
        <v>761</v>
      </c>
      <c r="E71">
        <v>3</v>
      </c>
      <c r="F71">
        <v>22.944037800865299</v>
      </c>
      <c r="G71">
        <v>7.7479991042790202</v>
      </c>
      <c r="H71">
        <v>3.1907525327485899</v>
      </c>
      <c r="I71">
        <v>1.6017972810529399</v>
      </c>
      <c r="J71">
        <v>103.172145563878</v>
      </c>
      <c r="K71">
        <v>47.643527073921703</v>
      </c>
      <c r="L71">
        <v>11.142856998240701</v>
      </c>
      <c r="M71">
        <v>4.9237424532516298</v>
      </c>
      <c r="N71">
        <v>3.7400666985712001</v>
      </c>
      <c r="O71">
        <v>204.890573065338</v>
      </c>
      <c r="P71">
        <v>0.22238597128582299</v>
      </c>
      <c r="Q71">
        <v>7.5097780141461901E-2</v>
      </c>
      <c r="R71">
        <v>3.0926491983953801E-2</v>
      </c>
      <c r="S71">
        <v>1.55254819243941E-2</v>
      </c>
      <c r="T71">
        <v>0.23253157215158199</v>
      </c>
      <c r="U71">
        <v>5.4384429852159598E-2</v>
      </c>
      <c r="V71">
        <v>2.4031083419740799E-2</v>
      </c>
      <c r="W71">
        <v>1.8253971584034401E-2</v>
      </c>
    </row>
    <row r="72" spans="1:23">
      <c r="A72">
        <v>46</v>
      </c>
      <c r="B72">
        <v>25</v>
      </c>
      <c r="C72">
        <v>25</v>
      </c>
      <c r="D72" t="s">
        <v>763</v>
      </c>
      <c r="E72">
        <v>3</v>
      </c>
      <c r="F72">
        <v>55.017279410855799</v>
      </c>
      <c r="G72">
        <v>17.030374186455099</v>
      </c>
      <c r="H72">
        <v>6.6532061765333497</v>
      </c>
      <c r="I72">
        <v>3.0670118840042102</v>
      </c>
      <c r="J72">
        <v>258.752642829911</v>
      </c>
      <c r="K72">
        <v>63.322640578177101</v>
      </c>
      <c r="L72">
        <v>18.2156351214784</v>
      </c>
      <c r="M72">
        <v>7.1354035002234903</v>
      </c>
      <c r="N72">
        <v>4.0506504275535899</v>
      </c>
      <c r="O72">
        <v>364.16427388996499</v>
      </c>
      <c r="P72">
        <v>0.21262499508853699</v>
      </c>
      <c r="Q72">
        <v>6.5817199005962904E-2</v>
      </c>
      <c r="R72">
        <v>2.57126114878246E-2</v>
      </c>
      <c r="S72">
        <v>1.18530649598825E-2</v>
      </c>
      <c r="T72">
        <v>0.173884823741141</v>
      </c>
      <c r="U72">
        <v>5.0020379338425701E-2</v>
      </c>
      <c r="V72">
        <v>1.9593914098172901E-2</v>
      </c>
      <c r="W72">
        <v>1.1123140620810899E-2</v>
      </c>
    </row>
    <row r="73" spans="1:23">
      <c r="B73">
        <v>80</v>
      </c>
      <c r="C73">
        <v>81</v>
      </c>
      <c r="D73" t="s">
        <v>769</v>
      </c>
      <c r="E73">
        <v>1</v>
      </c>
      <c r="F73">
        <v>54.9273388841344</v>
      </c>
      <c r="G73">
        <v>12.618227451474899</v>
      </c>
      <c r="H73">
        <v>3.59263021942269</v>
      </c>
      <c r="I73">
        <v>1.3023501633624299</v>
      </c>
      <c r="J73">
        <v>179.656806648187</v>
      </c>
      <c r="K73">
        <v>29.797920976717201</v>
      </c>
      <c r="L73">
        <v>6.50980116558984</v>
      </c>
      <c r="M73">
        <v>2.57002393032757</v>
      </c>
      <c r="N73">
        <v>1.1965183355650499</v>
      </c>
      <c r="O73">
        <v>225.63727491286301</v>
      </c>
      <c r="P73">
        <v>0.305734805760496</v>
      </c>
      <c r="Q73">
        <v>7.0235176094299301E-2</v>
      </c>
      <c r="R73">
        <v>1.9997184000147401E-2</v>
      </c>
      <c r="S73">
        <v>7.24910003500595E-3</v>
      </c>
      <c r="T73">
        <v>0.13206116315765901</v>
      </c>
      <c r="U73">
        <v>2.8850734738326399E-2</v>
      </c>
      <c r="V73">
        <v>1.1390068114056399E-2</v>
      </c>
      <c r="W73">
        <v>5.3028398611316202E-3</v>
      </c>
    </row>
    <row r="74" spans="1:23">
      <c r="A74">
        <v>14</v>
      </c>
      <c r="B74">
        <v>69</v>
      </c>
      <c r="C74">
        <v>69</v>
      </c>
      <c r="D74" t="s">
        <v>767</v>
      </c>
      <c r="E74">
        <v>2</v>
      </c>
      <c r="F74">
        <v>8.35950560777429</v>
      </c>
      <c r="G74">
        <v>1.8625187651786399</v>
      </c>
      <c r="H74">
        <v>0.90641894840373205</v>
      </c>
      <c r="I74">
        <v>0.45063702532239502</v>
      </c>
      <c r="J74">
        <v>45.166994258638802</v>
      </c>
      <c r="K74">
        <v>16.8748565427844</v>
      </c>
      <c r="L74">
        <v>3.4007882690275402</v>
      </c>
      <c r="M74">
        <v>1.2707730565355</v>
      </c>
      <c r="N74">
        <v>0.82184448953439604</v>
      </c>
      <c r="O74">
        <v>70.804344531803906</v>
      </c>
      <c r="P74">
        <v>0.18507996259182999</v>
      </c>
      <c r="Q74">
        <v>4.1236278741802801E-2</v>
      </c>
      <c r="R74">
        <v>2.00681706472059E-2</v>
      </c>
      <c r="S74">
        <v>9.9771311489518701E-3</v>
      </c>
      <c r="T74">
        <v>0.23833080659626199</v>
      </c>
      <c r="U74">
        <v>4.8030785279001897E-2</v>
      </c>
      <c r="V74">
        <v>1.79476706540895E-2</v>
      </c>
      <c r="W74">
        <v>1.16072607545324E-2</v>
      </c>
    </row>
    <row r="75" spans="1:23">
      <c r="A75">
        <v>53</v>
      </c>
      <c r="B75">
        <v>26</v>
      </c>
      <c r="C75">
        <v>26</v>
      </c>
      <c r="D75" t="s">
        <v>765</v>
      </c>
      <c r="E75">
        <v>3</v>
      </c>
      <c r="F75">
        <v>52.467032186517798</v>
      </c>
      <c r="G75">
        <v>10.035456262018</v>
      </c>
      <c r="H75">
        <v>3.96002107070822</v>
      </c>
      <c r="I75">
        <v>2.7714834983424099</v>
      </c>
      <c r="J75">
        <v>254.77861569961499</v>
      </c>
      <c r="K75">
        <v>62.713940734485497</v>
      </c>
      <c r="L75">
        <v>11.8387607975114</v>
      </c>
      <c r="M75">
        <v>4.2214925286794598</v>
      </c>
      <c r="N75">
        <v>2.500170934971</v>
      </c>
      <c r="O75">
        <v>276.26300415711</v>
      </c>
      <c r="P75">
        <v>0.20593185202158701</v>
      </c>
      <c r="Q75">
        <v>3.9388926870730402E-2</v>
      </c>
      <c r="R75">
        <v>1.5542988409110101E-2</v>
      </c>
      <c r="S75">
        <v>1.087800673825E-2</v>
      </c>
      <c r="T75">
        <v>0.22700810383869</v>
      </c>
      <c r="U75">
        <v>4.2853225438679199E-2</v>
      </c>
      <c r="V75">
        <v>1.5280701596507301E-2</v>
      </c>
      <c r="W75">
        <v>9.0499665078179001E-3</v>
      </c>
    </row>
    <row r="76" spans="1:23">
      <c r="A76">
        <v>45</v>
      </c>
      <c r="B76">
        <v>70</v>
      </c>
      <c r="C76">
        <v>70</v>
      </c>
      <c r="D76" t="s">
        <v>771</v>
      </c>
      <c r="E76">
        <v>1</v>
      </c>
      <c r="F76">
        <v>47.807179111276803</v>
      </c>
      <c r="G76">
        <v>15.7235438350801</v>
      </c>
      <c r="H76">
        <v>6.1439026694077299</v>
      </c>
      <c r="I76">
        <v>1.8310227112347399</v>
      </c>
      <c r="J76">
        <v>192.20602580839699</v>
      </c>
      <c r="K76">
        <v>52.692737510749197</v>
      </c>
      <c r="L76">
        <v>15.173425862422</v>
      </c>
      <c r="M76">
        <v>5.1281950409972401</v>
      </c>
      <c r="N76">
        <v>1.92221003989582</v>
      </c>
      <c r="O76">
        <v>206.626944423704</v>
      </c>
      <c r="P76">
        <v>0.24872882580140299</v>
      </c>
      <c r="Q76">
        <v>8.1805675805161002E-2</v>
      </c>
      <c r="R76">
        <v>3.19651927850189E-2</v>
      </c>
      <c r="S76">
        <v>9.5263543561324906E-3</v>
      </c>
      <c r="T76">
        <v>0.25501387371193401</v>
      </c>
      <c r="U76">
        <v>7.3433916882145997E-2</v>
      </c>
      <c r="V76">
        <v>2.4818617220034499E-2</v>
      </c>
      <c r="W76">
        <v>9.3028043620206093E-3</v>
      </c>
    </row>
    <row r="77" spans="1:23">
      <c r="A77">
        <v>55</v>
      </c>
      <c r="B77">
        <v>71</v>
      </c>
      <c r="C77">
        <v>71</v>
      </c>
      <c r="D77" t="s">
        <v>4</v>
      </c>
      <c r="E77">
        <v>1</v>
      </c>
      <c r="F77">
        <v>32.596896313564798</v>
      </c>
      <c r="G77">
        <v>9.1826491613877508</v>
      </c>
      <c r="H77">
        <v>3.75573310527612</v>
      </c>
      <c r="I77">
        <v>1.69793199956436</v>
      </c>
      <c r="J77">
        <v>193.56256527040301</v>
      </c>
      <c r="K77">
        <v>36.6721995173476</v>
      </c>
      <c r="L77">
        <v>11.2452902714264</v>
      </c>
      <c r="M77">
        <v>4.4055456566648399</v>
      </c>
      <c r="N77">
        <v>2.40006112112422</v>
      </c>
      <c r="O77">
        <v>152.56210512854599</v>
      </c>
      <c r="P77">
        <v>0.16840496130038099</v>
      </c>
      <c r="Q77">
        <v>4.7440212153418003E-2</v>
      </c>
      <c r="R77">
        <v>1.9403199683933899E-2</v>
      </c>
      <c r="S77">
        <v>8.7720060807852194E-3</v>
      </c>
      <c r="T77">
        <v>0.24037554729890701</v>
      </c>
      <c r="U77">
        <v>7.3709590346510798E-2</v>
      </c>
      <c r="V77">
        <v>2.88770638878692E-2</v>
      </c>
      <c r="W77">
        <v>1.5731699029073901E-2</v>
      </c>
    </row>
    <row r="78" spans="1:23">
      <c r="A78">
        <v>31</v>
      </c>
      <c r="B78">
        <v>27</v>
      </c>
      <c r="C78">
        <v>27</v>
      </c>
      <c r="D78" t="s">
        <v>774</v>
      </c>
      <c r="E78">
        <v>3</v>
      </c>
      <c r="F78">
        <v>29.8413233805326</v>
      </c>
      <c r="G78">
        <v>10.425270839825499</v>
      </c>
      <c r="H78">
        <v>4.7535026262003104</v>
      </c>
      <c r="I78">
        <v>2.2908497443261999</v>
      </c>
      <c r="J78">
        <v>132.99427006468599</v>
      </c>
      <c r="K78">
        <v>52.002218734746798</v>
      </c>
      <c r="L78">
        <v>17.268720489705998</v>
      </c>
      <c r="M78">
        <v>6.3321168538900796</v>
      </c>
      <c r="N78">
        <v>3.8370849403103402</v>
      </c>
      <c r="O78">
        <v>269.57676827395397</v>
      </c>
      <c r="P78">
        <v>0.22438051929619501</v>
      </c>
      <c r="Q78">
        <v>7.8388872202952001E-2</v>
      </c>
      <c r="R78">
        <v>3.5742161101288798E-2</v>
      </c>
      <c r="S78">
        <v>1.72251762667066E-2</v>
      </c>
      <c r="T78">
        <v>0.192903190685557</v>
      </c>
      <c r="U78">
        <v>6.4058637546084499E-2</v>
      </c>
      <c r="V78">
        <v>2.34891044003286E-2</v>
      </c>
      <c r="W78">
        <v>1.42337374428755E-2</v>
      </c>
    </row>
    <row r="79" spans="1:23">
      <c r="A79">
        <v>42</v>
      </c>
      <c r="B79">
        <v>28</v>
      </c>
      <c r="C79">
        <v>28</v>
      </c>
      <c r="D79" t="s">
        <v>776</v>
      </c>
      <c r="E79">
        <v>3</v>
      </c>
      <c r="F79">
        <v>13.928513295604899</v>
      </c>
      <c r="G79">
        <v>3.7652312767533802</v>
      </c>
      <c r="H79">
        <v>1.6424045290029401</v>
      </c>
      <c r="I79">
        <v>0.84239340038370203</v>
      </c>
      <c r="J79">
        <v>60.752922408663601</v>
      </c>
      <c r="K79">
        <v>20.2338200494315</v>
      </c>
      <c r="L79">
        <v>4.0882744583415702</v>
      </c>
      <c r="M79">
        <v>1.8818347823045001</v>
      </c>
      <c r="N79">
        <v>1.5979024673494699</v>
      </c>
      <c r="O79">
        <v>77.4247563574975</v>
      </c>
      <c r="P79">
        <v>0.22926491012090999</v>
      </c>
      <c r="Q79">
        <v>6.1976134274265599E-2</v>
      </c>
      <c r="R79">
        <v>2.7034165006171399E-2</v>
      </c>
      <c r="S79">
        <v>1.3865891005493E-2</v>
      </c>
      <c r="T79">
        <v>0.26133527570955201</v>
      </c>
      <c r="U79">
        <v>5.28031943615625E-2</v>
      </c>
      <c r="V79">
        <v>2.4305336830708301E-2</v>
      </c>
      <c r="W79">
        <v>2.0638133621904899E-2</v>
      </c>
    </row>
    <row r="80" spans="1:23">
      <c r="A80">
        <v>43</v>
      </c>
      <c r="B80">
        <v>29</v>
      </c>
      <c r="C80">
        <v>29</v>
      </c>
      <c r="D80" t="s">
        <v>778</v>
      </c>
      <c r="E80">
        <v>3</v>
      </c>
      <c r="F80">
        <v>8.2151146141620401</v>
      </c>
      <c r="G80">
        <v>2.37441709867749</v>
      </c>
      <c r="H80">
        <v>1.2145015551753799</v>
      </c>
      <c r="I80">
        <v>0.60381510155987494</v>
      </c>
      <c r="J80">
        <v>28.9187333461213</v>
      </c>
      <c r="K80">
        <v>11.4527627851059</v>
      </c>
      <c r="L80">
        <v>2.7788639294767501</v>
      </c>
      <c r="M80">
        <v>1.1666757441783899</v>
      </c>
      <c r="N80">
        <v>1.1409092065466899</v>
      </c>
      <c r="O80">
        <v>52.377979010897697</v>
      </c>
      <c r="P80">
        <v>0.28407587966725001</v>
      </c>
      <c r="Q80">
        <v>8.2106538701355605E-2</v>
      </c>
      <c r="R80">
        <v>4.19970522442773E-2</v>
      </c>
      <c r="S80">
        <v>2.08797216092752E-2</v>
      </c>
      <c r="T80">
        <v>0.218656065036855</v>
      </c>
      <c r="U80">
        <v>5.3054050231655298E-2</v>
      </c>
      <c r="V80">
        <v>2.2274164948893001E-2</v>
      </c>
      <c r="W80">
        <v>2.1782230397039901E-2</v>
      </c>
    </row>
    <row r="81" spans="1:23">
      <c r="B81">
        <v>81</v>
      </c>
      <c r="C81">
        <v>82</v>
      </c>
      <c r="D81" t="s">
        <v>780</v>
      </c>
      <c r="E81">
        <v>2</v>
      </c>
      <c r="F81">
        <v>23.403535156684299</v>
      </c>
      <c r="G81">
        <v>7.7231944590166997</v>
      </c>
      <c r="H81">
        <v>3.6817335656660499</v>
      </c>
      <c r="I81">
        <v>1.8897798477762</v>
      </c>
      <c r="J81">
        <v>101.495442300544</v>
      </c>
      <c r="K81">
        <v>56.657426142041203</v>
      </c>
      <c r="L81">
        <v>13.3291493074926</v>
      </c>
      <c r="M81">
        <v>5.5500445454534297</v>
      </c>
      <c r="N81">
        <v>3.0696008176737499</v>
      </c>
      <c r="O81">
        <v>251.573303069563</v>
      </c>
      <c r="P81">
        <v>0.230587055203748</v>
      </c>
      <c r="Q81">
        <v>7.6094002685826306E-2</v>
      </c>
      <c r="R81">
        <v>3.62748659665314E-2</v>
      </c>
      <c r="S81">
        <v>1.8619356740968401E-2</v>
      </c>
      <c r="T81">
        <v>0.22521239515774299</v>
      </c>
      <c r="U81">
        <v>5.2983162938425699E-2</v>
      </c>
      <c r="V81">
        <v>2.2061341476757399E-2</v>
      </c>
      <c r="W81">
        <v>1.2201615911625399E-2</v>
      </c>
    </row>
    <row r="82" spans="1:23">
      <c r="A82">
        <v>54</v>
      </c>
      <c r="B82">
        <v>30</v>
      </c>
      <c r="C82">
        <v>30</v>
      </c>
      <c r="D82" t="s">
        <v>782</v>
      </c>
      <c r="E82">
        <v>3</v>
      </c>
      <c r="F82">
        <v>63.882819191335699</v>
      </c>
      <c r="G82">
        <v>14.378530143786801</v>
      </c>
      <c r="H82">
        <v>4.7409134407133502</v>
      </c>
      <c r="I82">
        <v>2.32254424592979</v>
      </c>
      <c r="J82">
        <v>302.84682565599297</v>
      </c>
      <c r="K82">
        <v>73.512880845437195</v>
      </c>
      <c r="L82">
        <v>23.5586545909898</v>
      </c>
      <c r="M82">
        <v>9.2179225243259495</v>
      </c>
      <c r="N82">
        <v>5.0471000644028603</v>
      </c>
      <c r="O82">
        <v>323.57502396150801</v>
      </c>
      <c r="P82">
        <v>0.21094102291797101</v>
      </c>
      <c r="Q82">
        <v>4.7477896169595399E-2</v>
      </c>
      <c r="R82">
        <v>1.5654492763607801E-2</v>
      </c>
      <c r="S82">
        <v>7.6690394257854701E-3</v>
      </c>
      <c r="T82">
        <v>0.22718960179751699</v>
      </c>
      <c r="U82">
        <v>7.2807395028709906E-2</v>
      </c>
      <c r="V82">
        <v>2.8487744237708799E-2</v>
      </c>
      <c r="W82">
        <v>1.55979284266491E-2</v>
      </c>
    </row>
    <row r="83" spans="1:23">
      <c r="B83">
        <v>82</v>
      </c>
      <c r="C83">
        <v>83</v>
      </c>
      <c r="D83" t="s">
        <v>784</v>
      </c>
      <c r="E83">
        <v>1</v>
      </c>
      <c r="F83">
        <v>31.1867980647324</v>
      </c>
      <c r="G83">
        <v>7.00766089142616</v>
      </c>
      <c r="H83">
        <v>1.8015253688812201</v>
      </c>
      <c r="I83">
        <v>0.91681207338564397</v>
      </c>
      <c r="J83">
        <v>183.849812543685</v>
      </c>
      <c r="K83">
        <v>42.412682331221099</v>
      </c>
      <c r="L83">
        <v>8.4483298538301295</v>
      </c>
      <c r="M83">
        <v>2.2204410454752002</v>
      </c>
      <c r="N83">
        <v>1.56082616140867</v>
      </c>
      <c r="O83">
        <v>205.18665221283101</v>
      </c>
      <c r="P83">
        <v>0.16963192745884401</v>
      </c>
      <c r="Q83">
        <v>3.8116225382395001E-2</v>
      </c>
      <c r="R83">
        <v>9.7988969580981092E-3</v>
      </c>
      <c r="S83">
        <v>4.9867446732794404E-3</v>
      </c>
      <c r="T83">
        <v>0.20670293059427799</v>
      </c>
      <c r="U83">
        <v>4.1173876383864598E-2</v>
      </c>
      <c r="V83">
        <v>1.0821566712692601E-2</v>
      </c>
      <c r="W83">
        <v>7.6068601177316899E-3</v>
      </c>
    </row>
    <row r="84" spans="1:23">
      <c r="B84">
        <v>83</v>
      </c>
      <c r="C84">
        <v>84</v>
      </c>
      <c r="D84" t="s">
        <v>786</v>
      </c>
      <c r="E84">
        <v>2</v>
      </c>
      <c r="F84">
        <v>29.442260134595902</v>
      </c>
      <c r="G84">
        <v>9.2920015486128804</v>
      </c>
      <c r="H84">
        <v>3.8748573524709</v>
      </c>
      <c r="I84">
        <v>2.8607059585020602</v>
      </c>
      <c r="J84">
        <v>161.158318951208</v>
      </c>
      <c r="K84">
        <v>38.7322497448734</v>
      </c>
      <c r="L84">
        <v>11.428625559300301</v>
      </c>
      <c r="M84">
        <v>4.1952537527959404</v>
      </c>
      <c r="N84">
        <v>2.9182470794744599</v>
      </c>
      <c r="O84">
        <v>201.08479279171399</v>
      </c>
      <c r="P84">
        <v>0.18269153169505301</v>
      </c>
      <c r="Q84">
        <v>5.7657597876943197E-2</v>
      </c>
      <c r="R84">
        <v>2.4043793567020601E-2</v>
      </c>
      <c r="S84">
        <v>1.77509046825449E-2</v>
      </c>
      <c r="T84">
        <v>0.19261650375020101</v>
      </c>
      <c r="U84">
        <v>5.6834857577411503E-2</v>
      </c>
      <c r="V84">
        <v>2.08631080180262E-2</v>
      </c>
      <c r="W84">
        <v>1.4512520011879901E-2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AE99-2A64-412B-B9EC-E2E42718E3FF}">
  <dimension ref="A1:W84"/>
  <sheetViews>
    <sheetView topLeftCell="G64" workbookViewId="0">
      <selection activeCell="F2" sqref="F2:W84"/>
    </sheetView>
  </sheetViews>
  <sheetFormatPr defaultRowHeight="14"/>
  <sheetData>
    <row r="1" spans="1:23">
      <c r="A1" t="s">
        <v>814</v>
      </c>
      <c r="B1" t="s">
        <v>815</v>
      </c>
      <c r="C1" t="s">
        <v>816</v>
      </c>
      <c r="D1" t="s">
        <v>817</v>
      </c>
      <c r="E1" t="s">
        <v>818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633</v>
      </c>
      <c r="S1" t="s">
        <v>634</v>
      </c>
      <c r="T1" t="s">
        <v>635</v>
      </c>
      <c r="U1" t="s">
        <v>636</v>
      </c>
      <c r="V1" t="s">
        <v>637</v>
      </c>
      <c r="W1" t="s">
        <v>638</v>
      </c>
    </row>
    <row r="2" spans="1:23">
      <c r="A2">
        <v>67</v>
      </c>
      <c r="B2">
        <v>1</v>
      </c>
      <c r="C2">
        <v>1</v>
      </c>
      <c r="D2" t="s">
        <v>641</v>
      </c>
      <c r="E2">
        <v>3</v>
      </c>
      <c r="F2">
        <v>29.2358024600452</v>
      </c>
      <c r="G2">
        <v>10.0451146707323</v>
      </c>
      <c r="H2">
        <v>4.2387311556792797</v>
      </c>
      <c r="I2">
        <v>2.4416846512786599</v>
      </c>
      <c r="J2">
        <v>126.456001452744</v>
      </c>
      <c r="K2">
        <v>64.283356448102097</v>
      </c>
      <c r="L2">
        <v>13.795973899852401</v>
      </c>
      <c r="M2">
        <v>6.3848136489903702</v>
      </c>
      <c r="N2">
        <v>3.9773764778227498</v>
      </c>
      <c r="O2">
        <v>271.09287230904499</v>
      </c>
      <c r="P2">
        <v>0.23119347539207499</v>
      </c>
      <c r="Q2">
        <v>7.9435649991559096E-2</v>
      </c>
      <c r="R2">
        <v>3.35194147132927E-2</v>
      </c>
      <c r="S2">
        <v>1.9308570753686999E-2</v>
      </c>
      <c r="T2">
        <v>0.23712669352228299</v>
      </c>
      <c r="U2">
        <v>5.0890212576762503E-2</v>
      </c>
      <c r="V2">
        <v>2.3552126600037301E-2</v>
      </c>
      <c r="W2">
        <v>1.46716379665215E-2</v>
      </c>
    </row>
    <row r="3" spans="1:23">
      <c r="A3">
        <v>80</v>
      </c>
      <c r="B3">
        <v>2</v>
      </c>
      <c r="C3">
        <v>2</v>
      </c>
      <c r="D3" t="s">
        <v>643</v>
      </c>
      <c r="E3">
        <v>3</v>
      </c>
      <c r="F3">
        <v>58.0727668253869</v>
      </c>
      <c r="G3">
        <v>12.5237397251757</v>
      </c>
      <c r="H3">
        <v>5.4739171889187404</v>
      </c>
      <c r="I3">
        <v>3.3209959064778301</v>
      </c>
      <c r="J3">
        <v>272.14109581825602</v>
      </c>
      <c r="K3">
        <v>35.027285850942903</v>
      </c>
      <c r="L3">
        <v>8.2684199373492699</v>
      </c>
      <c r="M3">
        <v>3.2233099896737198</v>
      </c>
      <c r="N3">
        <v>1.96536701825006</v>
      </c>
      <c r="O3">
        <v>185.504955501263</v>
      </c>
      <c r="P3">
        <v>0.21339212532667201</v>
      </c>
      <c r="Q3">
        <v>4.6019288955680103E-2</v>
      </c>
      <c r="R3">
        <v>2.01142615835368E-2</v>
      </c>
      <c r="S3">
        <v>1.22032135444023E-2</v>
      </c>
      <c r="T3">
        <v>0.188821294591801</v>
      </c>
      <c r="U3">
        <v>4.4572501661784399E-2</v>
      </c>
      <c r="V3">
        <v>1.7375869992064901E-2</v>
      </c>
      <c r="W3">
        <v>1.05946874192085E-2</v>
      </c>
    </row>
    <row r="4" spans="1:23">
      <c r="A4">
        <v>3</v>
      </c>
      <c r="B4">
        <v>31</v>
      </c>
      <c r="C4">
        <v>31</v>
      </c>
      <c r="D4" t="s">
        <v>819</v>
      </c>
      <c r="E4">
        <v>2</v>
      </c>
      <c r="F4">
        <v>28.649373273963899</v>
      </c>
      <c r="G4">
        <v>8.42916453676931</v>
      </c>
      <c r="H4">
        <v>3.7972830853885902</v>
      </c>
      <c r="I4">
        <v>2.21838803040403</v>
      </c>
      <c r="J4">
        <v>140.97773297267599</v>
      </c>
      <c r="K4">
        <v>60.118205104054098</v>
      </c>
      <c r="L4">
        <v>12.5666116060767</v>
      </c>
      <c r="M4">
        <v>5.0184128210680301</v>
      </c>
      <c r="N4">
        <v>3.8888858854182198</v>
      </c>
      <c r="O4">
        <v>248.39164377555599</v>
      </c>
      <c r="P4">
        <v>0.203219137305299</v>
      </c>
      <c r="Q4">
        <v>5.9790751057140802E-2</v>
      </c>
      <c r="R4">
        <v>2.69353393994822E-2</v>
      </c>
      <c r="S4">
        <v>1.5735733463908101E-2</v>
      </c>
      <c r="T4">
        <v>0.24202990161124899</v>
      </c>
      <c r="U4">
        <v>5.0591925779241403E-2</v>
      </c>
      <c r="V4">
        <v>2.0203629819377601E-2</v>
      </c>
      <c r="W4">
        <v>1.5656266959335301E-2</v>
      </c>
    </row>
    <row r="5" spans="1:23">
      <c r="A5">
        <v>9</v>
      </c>
      <c r="B5">
        <v>43</v>
      </c>
      <c r="C5">
        <v>43</v>
      </c>
      <c r="D5" t="s">
        <v>213</v>
      </c>
      <c r="E5">
        <v>1</v>
      </c>
      <c r="F5">
        <v>33.461795663884701</v>
      </c>
      <c r="G5">
        <v>18.985076220171202</v>
      </c>
      <c r="H5">
        <v>6.1065675526896497</v>
      </c>
      <c r="I5">
        <v>2.9219771554423799</v>
      </c>
      <c r="J5">
        <v>159.99979727828801</v>
      </c>
      <c r="K5">
        <v>35.850032693798902</v>
      </c>
      <c r="L5">
        <v>16.0961076248614</v>
      </c>
      <c r="M5">
        <v>5.3585304905075599</v>
      </c>
      <c r="N5">
        <v>2.7646015898814</v>
      </c>
      <c r="O5">
        <v>169.63159951705501</v>
      </c>
      <c r="P5">
        <v>0.20913648787744701</v>
      </c>
      <c r="Q5">
        <v>0.118656876715602</v>
      </c>
      <c r="R5">
        <v>3.81660955611616E-2</v>
      </c>
      <c r="S5">
        <v>1.8262380360146099E-2</v>
      </c>
      <c r="T5">
        <v>0.21134053322532301</v>
      </c>
      <c r="U5">
        <v>9.4888615509654106E-2</v>
      </c>
      <c r="V5">
        <v>3.1589223386228903E-2</v>
      </c>
      <c r="W5">
        <v>1.6297680371772E-2</v>
      </c>
    </row>
    <row r="6" spans="1:23">
      <c r="A6">
        <v>81</v>
      </c>
      <c r="B6">
        <v>3</v>
      </c>
      <c r="C6">
        <v>3</v>
      </c>
      <c r="D6" t="s">
        <v>649</v>
      </c>
      <c r="E6">
        <v>3</v>
      </c>
      <c r="F6">
        <v>66.376731081439203</v>
      </c>
      <c r="G6">
        <v>16.443129011516302</v>
      </c>
      <c r="H6">
        <v>7.4978701981320599</v>
      </c>
      <c r="I6">
        <v>5.06549703169006</v>
      </c>
      <c r="J6">
        <v>276.40735157356801</v>
      </c>
      <c r="K6">
        <v>26.527515556490702</v>
      </c>
      <c r="L6">
        <v>10.0464243319313</v>
      </c>
      <c r="M6">
        <v>4.8181835504847497</v>
      </c>
      <c r="N6">
        <v>3.4518515694727001</v>
      </c>
      <c r="O6">
        <v>114.676170792064</v>
      </c>
      <c r="P6">
        <v>0.24014097564178699</v>
      </c>
      <c r="Q6">
        <v>5.9488754253121903E-2</v>
      </c>
      <c r="R6">
        <v>2.7126160557768099E-2</v>
      </c>
      <c r="S6">
        <v>1.8326202262177599E-2</v>
      </c>
      <c r="T6">
        <v>0.23132543904514799</v>
      </c>
      <c r="U6">
        <v>8.7606904403425695E-2</v>
      </c>
      <c r="V6">
        <v>4.2015560139527897E-2</v>
      </c>
      <c r="W6">
        <v>3.01008618061702E-2</v>
      </c>
    </row>
    <row r="7" spans="1:23">
      <c r="A7">
        <v>28</v>
      </c>
      <c r="B7">
        <v>44</v>
      </c>
      <c r="C7">
        <v>44</v>
      </c>
      <c r="D7" t="s">
        <v>651</v>
      </c>
      <c r="E7">
        <v>1</v>
      </c>
      <c r="F7">
        <v>99.699825020974203</v>
      </c>
      <c r="G7">
        <v>57.838775163921198</v>
      </c>
      <c r="H7">
        <v>21.512614768400301</v>
      </c>
      <c r="I7">
        <v>9.2865949941987598</v>
      </c>
      <c r="J7">
        <v>403.99507710791102</v>
      </c>
      <c r="K7">
        <v>117.14940373484799</v>
      </c>
      <c r="L7">
        <v>63.662361076220002</v>
      </c>
      <c r="M7">
        <v>22.1394669462845</v>
      </c>
      <c r="N7">
        <v>10.6977133169095</v>
      </c>
      <c r="O7">
        <v>518.93578081361102</v>
      </c>
      <c r="P7">
        <v>0.24678475226653199</v>
      </c>
      <c r="Q7">
        <v>0.143167029603363</v>
      </c>
      <c r="R7">
        <v>5.3249695324020102E-2</v>
      </c>
      <c r="S7">
        <v>2.29869013768161E-2</v>
      </c>
      <c r="T7">
        <v>0.225749327886344</v>
      </c>
      <c r="U7">
        <v>0.122678688635436</v>
      </c>
      <c r="V7">
        <v>4.26632114508914E-2</v>
      </c>
      <c r="W7">
        <v>2.0614715177544998E-2</v>
      </c>
    </row>
    <row r="8" spans="1:23">
      <c r="A8">
        <v>61</v>
      </c>
      <c r="B8">
        <v>4</v>
      </c>
      <c r="C8">
        <v>4</v>
      </c>
      <c r="D8" t="s">
        <v>204</v>
      </c>
      <c r="E8">
        <v>3</v>
      </c>
      <c r="F8">
        <v>45.477049567128901</v>
      </c>
      <c r="G8">
        <v>12.2787742052101</v>
      </c>
      <c r="H8">
        <v>6.63972819631958</v>
      </c>
      <c r="I8">
        <v>4.2474829216512999</v>
      </c>
      <c r="J8">
        <v>241.97722919074999</v>
      </c>
      <c r="K8">
        <v>24.8659386915715</v>
      </c>
      <c r="L8">
        <v>6.9543757835006001</v>
      </c>
      <c r="M8">
        <v>3.0341387096580599</v>
      </c>
      <c r="N8">
        <v>1.6703201486388199</v>
      </c>
      <c r="O8">
        <v>125.389371077137</v>
      </c>
      <c r="P8">
        <v>0.18793937644140701</v>
      </c>
      <c r="Q8">
        <v>5.0743511057938499E-2</v>
      </c>
      <c r="R8">
        <v>2.7439475270152398E-2</v>
      </c>
      <c r="S8">
        <v>1.7553233979313899E-2</v>
      </c>
      <c r="T8">
        <v>0.19830978078895201</v>
      </c>
      <c r="U8">
        <v>5.5462243121248499E-2</v>
      </c>
      <c r="V8">
        <v>2.4197734493711799E-2</v>
      </c>
      <c r="W8">
        <v>1.33210664850634E-2</v>
      </c>
    </row>
    <row r="9" spans="1:23">
      <c r="A9">
        <v>60</v>
      </c>
      <c r="B9">
        <v>5</v>
      </c>
      <c r="C9">
        <v>5</v>
      </c>
      <c r="D9" t="s">
        <v>203</v>
      </c>
      <c r="E9">
        <v>3</v>
      </c>
      <c r="F9">
        <v>25.928831890208102</v>
      </c>
      <c r="G9">
        <v>7.1851638155475603</v>
      </c>
      <c r="H9">
        <v>3.0284721292917598</v>
      </c>
      <c r="I9">
        <v>1.6132817884812201</v>
      </c>
      <c r="J9">
        <v>124.90678222784901</v>
      </c>
      <c r="K9">
        <v>53.946502183498801</v>
      </c>
      <c r="L9">
        <v>9.0323613031943992</v>
      </c>
      <c r="M9">
        <v>2.60346715110362</v>
      </c>
      <c r="N9">
        <v>1.3626734985167299</v>
      </c>
      <c r="O9">
        <v>241.77791357047499</v>
      </c>
      <c r="P9">
        <v>0.207585460354826</v>
      </c>
      <c r="Q9">
        <v>5.7524208753057998E-2</v>
      </c>
      <c r="R9">
        <v>2.4245858193411501E-2</v>
      </c>
      <c r="S9">
        <v>1.2915886228966699E-2</v>
      </c>
      <c r="T9">
        <v>0.22312419437673001</v>
      </c>
      <c r="U9">
        <v>3.7358091025802502E-2</v>
      </c>
      <c r="V9">
        <v>1.07680106617545E-2</v>
      </c>
      <c r="W9">
        <v>5.63605450304926E-3</v>
      </c>
    </row>
    <row r="10" spans="1:23">
      <c r="A10">
        <v>78</v>
      </c>
      <c r="B10">
        <v>32</v>
      </c>
      <c r="C10">
        <v>32</v>
      </c>
      <c r="D10" t="s">
        <v>655</v>
      </c>
      <c r="E10">
        <v>2</v>
      </c>
      <c r="F10">
        <v>35.903368802488302</v>
      </c>
      <c r="G10">
        <v>5.8002037378708202</v>
      </c>
      <c r="H10">
        <v>2.3214816776640399</v>
      </c>
      <c r="I10">
        <v>1.54083409925398</v>
      </c>
      <c r="J10">
        <v>179.58065998372001</v>
      </c>
      <c r="K10">
        <v>32.148034644706698</v>
      </c>
      <c r="L10">
        <v>8.0208925246570999</v>
      </c>
      <c r="M10">
        <v>3.47222134795101</v>
      </c>
      <c r="N10">
        <v>1.9950540918672901</v>
      </c>
      <c r="O10">
        <v>176.25064318268599</v>
      </c>
      <c r="P10">
        <v>0.199928927790682</v>
      </c>
      <c r="Q10">
        <v>3.2298599071841197E-2</v>
      </c>
      <c r="R10">
        <v>1.2927236584799801E-2</v>
      </c>
      <c r="S10">
        <v>8.5801783966807307E-3</v>
      </c>
      <c r="T10">
        <v>0.182399530941767</v>
      </c>
      <c r="U10">
        <v>4.5508443996674398E-2</v>
      </c>
      <c r="V10">
        <v>1.9700474762818401E-2</v>
      </c>
      <c r="W10">
        <v>1.13194145328559E-2</v>
      </c>
    </row>
    <row r="11" spans="1:23">
      <c r="A11">
        <v>32</v>
      </c>
      <c r="B11">
        <v>6</v>
      </c>
      <c r="C11">
        <v>6</v>
      </c>
      <c r="D11" t="s">
        <v>657</v>
      </c>
      <c r="E11">
        <v>3</v>
      </c>
      <c r="F11">
        <v>32.493919775403498</v>
      </c>
      <c r="G11">
        <v>6.4560270392693297</v>
      </c>
      <c r="H11">
        <v>3.92027845147279</v>
      </c>
      <c r="I11">
        <v>2.3636512932440699</v>
      </c>
      <c r="J11">
        <v>199.37042623720399</v>
      </c>
      <c r="K11">
        <v>52.108416241728598</v>
      </c>
      <c r="L11">
        <v>16.739929386948699</v>
      </c>
      <c r="M11">
        <v>7.1519127826905899</v>
      </c>
      <c r="N11">
        <v>3.2343648933015499</v>
      </c>
      <c r="O11">
        <v>244.258409625643</v>
      </c>
      <c r="P11">
        <v>0.16298264686831401</v>
      </c>
      <c r="Q11">
        <v>3.2382069703699001E-2</v>
      </c>
      <c r="R11">
        <v>1.9663289713834301E-2</v>
      </c>
      <c r="S11">
        <v>1.1855576265016699E-2</v>
      </c>
      <c r="T11">
        <v>0.213333151237623</v>
      </c>
      <c r="U11">
        <v>6.8533686977675895E-2</v>
      </c>
      <c r="V11">
        <v>2.9280108691659101E-2</v>
      </c>
      <c r="W11">
        <v>1.32415702626519E-2</v>
      </c>
    </row>
    <row r="12" spans="1:23">
      <c r="A12">
        <v>34</v>
      </c>
      <c r="B12">
        <v>7</v>
      </c>
      <c r="C12">
        <v>7</v>
      </c>
      <c r="D12" t="s">
        <v>659</v>
      </c>
      <c r="E12">
        <v>3</v>
      </c>
      <c r="F12">
        <v>47.5793677457062</v>
      </c>
      <c r="G12">
        <v>12.0832361270348</v>
      </c>
      <c r="H12">
        <v>4.8669679569412398</v>
      </c>
      <c r="I12">
        <v>3.18019999017522</v>
      </c>
      <c r="J12">
        <v>201.71758375682199</v>
      </c>
      <c r="K12">
        <v>14.8884690364682</v>
      </c>
      <c r="L12">
        <v>5.9487583935212296</v>
      </c>
      <c r="M12">
        <v>2.5806754370571499</v>
      </c>
      <c r="N12">
        <v>1.4485918404570299</v>
      </c>
      <c r="O12">
        <v>76.266990589287801</v>
      </c>
      <c r="P12">
        <v>0.235871196053314</v>
      </c>
      <c r="Q12">
        <v>5.9901749277353797E-2</v>
      </c>
      <c r="R12">
        <v>2.4127633626667599E-2</v>
      </c>
      <c r="S12">
        <v>1.5765606205203501E-2</v>
      </c>
      <c r="T12">
        <v>0.195215111038607</v>
      </c>
      <c r="U12">
        <v>7.7999123179730803E-2</v>
      </c>
      <c r="V12">
        <v>3.3837383868396999E-2</v>
      </c>
      <c r="W12">
        <v>1.8993693461145902E-2</v>
      </c>
    </row>
    <row r="13" spans="1:23">
      <c r="A13">
        <v>27</v>
      </c>
      <c r="B13">
        <v>8</v>
      </c>
      <c r="C13">
        <v>8</v>
      </c>
      <c r="D13" s="86" t="s">
        <v>665</v>
      </c>
      <c r="E13">
        <v>3</v>
      </c>
      <c r="F13">
        <v>48.397677320235097</v>
      </c>
      <c r="G13">
        <v>19.669367252264198</v>
      </c>
      <c r="H13">
        <v>5.6086500076558501</v>
      </c>
      <c r="I13">
        <v>2.1207750258783902</v>
      </c>
      <c r="J13">
        <v>209.85558022476499</v>
      </c>
      <c r="K13">
        <v>62.790672170041397</v>
      </c>
      <c r="L13">
        <v>19.8356574373496</v>
      </c>
      <c r="M13">
        <v>5.0054180110433402</v>
      </c>
      <c r="N13">
        <v>2.4583436316102198</v>
      </c>
      <c r="O13">
        <v>231.839409439229</v>
      </c>
      <c r="P13">
        <v>0.230623733085386</v>
      </c>
      <c r="Q13">
        <v>9.3728111643242101E-2</v>
      </c>
      <c r="R13">
        <v>2.6726237165810501E-2</v>
      </c>
      <c r="S13">
        <v>1.01058786409536E-2</v>
      </c>
      <c r="T13">
        <v>0.27083692251424801</v>
      </c>
      <c r="U13">
        <v>8.5557746568315995E-2</v>
      </c>
      <c r="V13">
        <v>2.15900222621788E-2</v>
      </c>
      <c r="W13">
        <v>1.0603648609856501E-2</v>
      </c>
    </row>
    <row r="14" spans="1:23">
      <c r="A14">
        <v>23</v>
      </c>
      <c r="B14">
        <v>33</v>
      </c>
      <c r="C14">
        <v>33</v>
      </c>
      <c r="D14" t="s">
        <v>661</v>
      </c>
      <c r="E14">
        <v>2</v>
      </c>
      <c r="F14">
        <v>25.322852667995502</v>
      </c>
      <c r="G14">
        <v>6.2401489051810897</v>
      </c>
      <c r="H14">
        <v>2.4087843151932899</v>
      </c>
      <c r="I14">
        <v>1.5906983124394301</v>
      </c>
      <c r="J14">
        <v>135.09971840276</v>
      </c>
      <c r="K14">
        <v>51.475042226646302</v>
      </c>
      <c r="L14">
        <v>6.8963879829620698</v>
      </c>
      <c r="M14">
        <v>2.4820460407248701</v>
      </c>
      <c r="N14">
        <v>1.7295000746298099</v>
      </c>
      <c r="O14">
        <v>294.17673736665398</v>
      </c>
      <c r="P14">
        <v>0.18743823427153899</v>
      </c>
      <c r="Q14">
        <v>4.6189207342223502E-2</v>
      </c>
      <c r="R14">
        <v>1.7829676802228502E-2</v>
      </c>
      <c r="S14">
        <v>1.1774253353343299E-2</v>
      </c>
      <c r="T14">
        <v>0.17497998885781799</v>
      </c>
      <c r="U14">
        <v>2.34430092763134E-2</v>
      </c>
      <c r="V14">
        <v>8.4372614331884206E-3</v>
      </c>
      <c r="W14">
        <v>5.8791190972867701E-3</v>
      </c>
    </row>
    <row r="15" spans="1:23">
      <c r="A15">
        <v>8</v>
      </c>
      <c r="B15">
        <v>45</v>
      </c>
      <c r="C15">
        <v>45</v>
      </c>
      <c r="D15" t="s">
        <v>663</v>
      </c>
      <c r="E15">
        <v>1</v>
      </c>
      <c r="F15">
        <v>43.075083825552603</v>
      </c>
      <c r="G15">
        <v>10.7726670178396</v>
      </c>
      <c r="H15">
        <v>4.8397089184061803</v>
      </c>
      <c r="I15">
        <v>2.4302067431191698</v>
      </c>
      <c r="J15">
        <v>184.43536063904699</v>
      </c>
      <c r="K15">
        <v>37.4524325198743</v>
      </c>
      <c r="L15">
        <v>9.9894491967768797</v>
      </c>
      <c r="M15">
        <v>4.6110380532998496</v>
      </c>
      <c r="N15">
        <v>2.6968190057660202</v>
      </c>
      <c r="O15">
        <v>164.26041834759701</v>
      </c>
      <c r="P15">
        <v>0.233551113389007</v>
      </c>
      <c r="Q15">
        <v>5.8408902612348997E-2</v>
      </c>
      <c r="R15">
        <v>2.6240678043717599E-2</v>
      </c>
      <c r="S15">
        <v>1.31764686267253E-2</v>
      </c>
      <c r="T15">
        <v>0.228006435735601</v>
      </c>
      <c r="U15">
        <v>6.0814706898151598E-2</v>
      </c>
      <c r="V15">
        <v>2.8071510469078902E-2</v>
      </c>
      <c r="W15">
        <v>1.6417947993162801E-2</v>
      </c>
    </row>
    <row r="16" spans="1:23">
      <c r="A16">
        <v>56</v>
      </c>
      <c r="B16">
        <v>46</v>
      </c>
      <c r="C16">
        <v>46</v>
      </c>
      <c r="D16" t="s">
        <v>667</v>
      </c>
      <c r="E16">
        <v>1</v>
      </c>
      <c r="F16">
        <v>24.9641012122879</v>
      </c>
      <c r="G16">
        <v>8.4001289058473905</v>
      </c>
      <c r="H16">
        <v>3.15275374873208</v>
      </c>
      <c r="I16">
        <v>1.7913052722782701</v>
      </c>
      <c r="J16">
        <v>125.423789241363</v>
      </c>
      <c r="K16">
        <v>36.683848688474903</v>
      </c>
      <c r="L16">
        <v>9.1887945966933202</v>
      </c>
      <c r="M16">
        <v>3.1040839457893599</v>
      </c>
      <c r="N16">
        <v>2.2243817932822898</v>
      </c>
      <c r="O16">
        <v>154.45094842775401</v>
      </c>
      <c r="P16">
        <v>0.19903800836576199</v>
      </c>
      <c r="Q16">
        <v>6.6973968468472797E-2</v>
      </c>
      <c r="R16">
        <v>2.5136808318436201E-2</v>
      </c>
      <c r="S16">
        <v>1.42820216412943E-2</v>
      </c>
      <c r="T16">
        <v>0.23751132033763001</v>
      </c>
      <c r="U16">
        <v>5.9493286964123003E-2</v>
      </c>
      <c r="V16">
        <v>2.00975389104932E-2</v>
      </c>
      <c r="W16">
        <v>1.44018655497138E-2</v>
      </c>
    </row>
    <row r="17" spans="1:23">
      <c r="A17">
        <v>47</v>
      </c>
      <c r="B17">
        <v>34</v>
      </c>
      <c r="C17">
        <v>34</v>
      </c>
      <c r="D17" t="s">
        <v>672</v>
      </c>
      <c r="E17">
        <v>2</v>
      </c>
      <c r="F17">
        <v>113.13450447354199</v>
      </c>
      <c r="G17">
        <v>29.084922873085901</v>
      </c>
      <c r="H17">
        <v>6.1822762786799803</v>
      </c>
      <c r="I17">
        <v>2.5547733470819201</v>
      </c>
      <c r="J17">
        <v>382.39097027123302</v>
      </c>
      <c r="K17">
        <v>107.977250464902</v>
      </c>
      <c r="L17">
        <v>36.181846987766001</v>
      </c>
      <c r="M17">
        <v>8.2104208087022599</v>
      </c>
      <c r="N17">
        <v>2.8531869946081501</v>
      </c>
      <c r="O17">
        <v>397.56396121068099</v>
      </c>
      <c r="P17">
        <v>0.29586081594263097</v>
      </c>
      <c r="Q17">
        <v>7.6060694771259096E-2</v>
      </c>
      <c r="R17">
        <v>1.6167422244031601E-2</v>
      </c>
      <c r="S17">
        <v>6.6810504057399703E-3</v>
      </c>
      <c r="T17">
        <v>0.271597179321999</v>
      </c>
      <c r="U17">
        <v>9.1008870315063994E-2</v>
      </c>
      <c r="V17">
        <v>2.0651823630339801E-2</v>
      </c>
      <c r="W17">
        <v>7.1766741279050599E-3</v>
      </c>
    </row>
    <row r="18" spans="1:23">
      <c r="A18">
        <v>69</v>
      </c>
      <c r="B18">
        <v>47</v>
      </c>
      <c r="C18">
        <v>47</v>
      </c>
      <c r="D18" t="s">
        <v>211</v>
      </c>
      <c r="E18">
        <v>1</v>
      </c>
      <c r="F18">
        <v>50.297348778234003</v>
      </c>
      <c r="G18">
        <v>14.329516426737699</v>
      </c>
      <c r="H18">
        <v>4.8537084910854604</v>
      </c>
      <c r="I18">
        <v>2.2680577446499801</v>
      </c>
      <c r="J18">
        <v>287.76717779975502</v>
      </c>
      <c r="K18">
        <v>77.153665707252401</v>
      </c>
      <c r="L18">
        <v>28.408045118331401</v>
      </c>
      <c r="M18">
        <v>9.9996800692614904</v>
      </c>
      <c r="N18">
        <v>4.5887658003473097</v>
      </c>
      <c r="O18">
        <v>310.21619674101998</v>
      </c>
      <c r="P18">
        <v>0.17478487005642401</v>
      </c>
      <c r="Q18">
        <v>4.9795520588206299E-2</v>
      </c>
      <c r="R18">
        <v>1.6866789771496998E-2</v>
      </c>
      <c r="S18">
        <v>7.8815720472062596E-3</v>
      </c>
      <c r="T18">
        <v>0.24870934051088001</v>
      </c>
      <c r="U18">
        <v>9.15749900126831E-2</v>
      </c>
      <c r="V18">
        <v>3.2234551820031501E-2</v>
      </c>
      <c r="W18">
        <v>1.4792154144608299E-2</v>
      </c>
    </row>
    <row r="19" spans="1:23">
      <c r="B19">
        <v>72</v>
      </c>
      <c r="C19">
        <v>72</v>
      </c>
      <c r="D19" t="s">
        <v>669</v>
      </c>
      <c r="E19">
        <v>3</v>
      </c>
      <c r="F19">
        <v>21.976932514141701</v>
      </c>
      <c r="G19">
        <v>8.1045373318882206</v>
      </c>
      <c r="H19">
        <v>3.62977997214663</v>
      </c>
      <c r="I19">
        <v>1.33935438669076</v>
      </c>
      <c r="J19">
        <v>89.604380055805194</v>
      </c>
      <c r="K19">
        <v>22.261768767795299</v>
      </c>
      <c r="L19">
        <v>8.5038057496232593</v>
      </c>
      <c r="M19">
        <v>3.3870933382027002</v>
      </c>
      <c r="N19">
        <v>2.5011482321753902</v>
      </c>
      <c r="O19">
        <v>123.04662816451101</v>
      </c>
      <c r="P19">
        <v>0.245266274934937</v>
      </c>
      <c r="Q19">
        <v>9.0448004069005897E-2</v>
      </c>
      <c r="R19">
        <v>4.0508956926949599E-2</v>
      </c>
      <c r="S19">
        <v>1.49474209392065E-2</v>
      </c>
      <c r="T19">
        <v>0.18092140434788501</v>
      </c>
      <c r="U19">
        <v>6.9110432983615203E-2</v>
      </c>
      <c r="V19">
        <v>2.7526909015940099E-2</v>
      </c>
      <c r="W19">
        <v>2.0326832758321599E-2</v>
      </c>
    </row>
    <row r="20" spans="1:23">
      <c r="A20">
        <v>38</v>
      </c>
      <c r="B20">
        <v>48</v>
      </c>
      <c r="C20">
        <v>48</v>
      </c>
      <c r="D20" t="s">
        <v>674</v>
      </c>
      <c r="E20">
        <v>1</v>
      </c>
      <c r="F20">
        <v>20.8906357663537</v>
      </c>
      <c r="G20">
        <v>8.4825773081573299</v>
      </c>
      <c r="H20">
        <v>3.0706673314048101</v>
      </c>
      <c r="I20">
        <v>1.2629778879350699</v>
      </c>
      <c r="J20">
        <v>95.738361111145196</v>
      </c>
      <c r="K20">
        <v>35.453135333680102</v>
      </c>
      <c r="L20">
        <v>11.3453217683556</v>
      </c>
      <c r="M20">
        <v>3.5494450134111899</v>
      </c>
      <c r="N20">
        <v>2.0819795256145501</v>
      </c>
      <c r="O20">
        <v>143.35555773106501</v>
      </c>
      <c r="P20">
        <v>0.218205487579856</v>
      </c>
      <c r="Q20">
        <v>8.8601655696922604E-2</v>
      </c>
      <c r="R20">
        <v>3.2073531401273898E-2</v>
      </c>
      <c r="S20">
        <v>1.3191973136753901E-2</v>
      </c>
      <c r="T20">
        <v>0.24730910956511501</v>
      </c>
      <c r="U20">
        <v>7.9141136541350299E-2</v>
      </c>
      <c r="V20">
        <v>2.4759730767257401E-2</v>
      </c>
      <c r="W20">
        <v>1.4523186673518099E-2</v>
      </c>
    </row>
    <row r="21" spans="1:23">
      <c r="A21">
        <v>70</v>
      </c>
      <c r="B21">
        <v>49</v>
      </c>
      <c r="C21">
        <v>49</v>
      </c>
      <c r="D21" t="s">
        <v>212</v>
      </c>
      <c r="E21">
        <v>1</v>
      </c>
      <c r="F21">
        <v>65.589049907038401</v>
      </c>
      <c r="G21">
        <v>16.3761958835806</v>
      </c>
      <c r="H21">
        <v>4.0056058988057002</v>
      </c>
      <c r="I21">
        <v>1.3688402381389699</v>
      </c>
      <c r="J21">
        <v>251.03395637534899</v>
      </c>
      <c r="K21">
        <v>20.719850992304799</v>
      </c>
      <c r="L21">
        <v>9.1094548640723296</v>
      </c>
      <c r="M21">
        <v>3.6106825588185898</v>
      </c>
      <c r="N21">
        <v>1.81329791805081</v>
      </c>
      <c r="O21">
        <v>118.631638566135</v>
      </c>
      <c r="P21">
        <v>0.26127560930031601</v>
      </c>
      <c r="Q21">
        <v>6.5234983027932403E-2</v>
      </c>
      <c r="R21">
        <v>1.5956430582707602E-2</v>
      </c>
      <c r="S21">
        <v>5.4528090856850496E-3</v>
      </c>
      <c r="T21">
        <v>0.17465704126436599</v>
      </c>
      <c r="U21">
        <v>7.6787735330773196E-2</v>
      </c>
      <c r="V21">
        <v>3.04360843570891E-2</v>
      </c>
      <c r="W21">
        <v>1.52851123019761E-2</v>
      </c>
    </row>
    <row r="22" spans="1:23">
      <c r="B22">
        <v>73</v>
      </c>
      <c r="C22">
        <v>73</v>
      </c>
      <c r="D22" t="s">
        <v>677</v>
      </c>
      <c r="E22">
        <v>1</v>
      </c>
      <c r="F22">
        <v>46.886853954475498</v>
      </c>
      <c r="G22">
        <v>12.789272647318001</v>
      </c>
      <c r="H22">
        <v>5.6188193070728003</v>
      </c>
      <c r="I22">
        <v>2.9662132473102401</v>
      </c>
      <c r="J22">
        <v>226.78408056941299</v>
      </c>
      <c r="K22">
        <v>49.317063497274297</v>
      </c>
      <c r="L22">
        <v>11.967560981166599</v>
      </c>
      <c r="M22">
        <v>4.9013727515676999</v>
      </c>
      <c r="N22">
        <v>3.02575652330207</v>
      </c>
      <c r="O22">
        <v>259.22482924515799</v>
      </c>
      <c r="P22">
        <v>0.206746672150669</v>
      </c>
      <c r="Q22">
        <v>5.6394049420076198E-2</v>
      </c>
      <c r="R22">
        <v>2.4776074638770799E-2</v>
      </c>
      <c r="S22">
        <v>1.3079459721611101E-2</v>
      </c>
      <c r="T22">
        <v>0.19024822445011</v>
      </c>
      <c r="U22">
        <v>4.6166723365254798E-2</v>
      </c>
      <c r="V22">
        <v>1.8907805883564902E-2</v>
      </c>
      <c r="W22">
        <v>1.16723252634126E-2</v>
      </c>
    </row>
    <row r="23" spans="1:23">
      <c r="A23">
        <v>36</v>
      </c>
      <c r="B23">
        <v>50</v>
      </c>
      <c r="C23">
        <v>50</v>
      </c>
      <c r="D23" t="s">
        <v>679</v>
      </c>
      <c r="E23">
        <v>1</v>
      </c>
      <c r="F23">
        <v>77.408057184937306</v>
      </c>
      <c r="G23">
        <v>11.1399819969539</v>
      </c>
      <c r="H23">
        <v>4.5143187478198898</v>
      </c>
      <c r="I23">
        <v>2.33923806856949</v>
      </c>
      <c r="J23">
        <v>411.20400923053597</v>
      </c>
      <c r="K23">
        <v>82.369556672620902</v>
      </c>
      <c r="L23">
        <v>11.7917065532435</v>
      </c>
      <c r="M23">
        <v>4.7560843561237798</v>
      </c>
      <c r="N23">
        <v>2.1434279035976802</v>
      </c>
      <c r="O23">
        <v>332.65415581001798</v>
      </c>
      <c r="P23">
        <v>0.188247330880326</v>
      </c>
      <c r="Q23">
        <v>2.7091131766442501E-2</v>
      </c>
      <c r="R23">
        <v>1.0978294584888099E-2</v>
      </c>
      <c r="S23">
        <v>5.6887530667485003E-3</v>
      </c>
      <c r="T23">
        <v>0.24761318995714901</v>
      </c>
      <c r="U23">
        <v>3.5447344779236403E-2</v>
      </c>
      <c r="V23">
        <v>1.4297384454863201E-2</v>
      </c>
      <c r="W23">
        <v>6.4434123733653698E-3</v>
      </c>
    </row>
    <row r="24" spans="1:23">
      <c r="A24">
        <v>15</v>
      </c>
      <c r="B24">
        <v>9</v>
      </c>
      <c r="C24">
        <v>9</v>
      </c>
      <c r="D24" t="s">
        <v>681</v>
      </c>
      <c r="E24">
        <v>3</v>
      </c>
      <c r="F24">
        <v>29.617299974336198</v>
      </c>
      <c r="G24">
        <v>10.7415582487493</v>
      </c>
      <c r="H24">
        <v>5.6234664537408401</v>
      </c>
      <c r="I24">
        <v>3.0009997972633902</v>
      </c>
      <c r="J24">
        <v>185.89079440183801</v>
      </c>
      <c r="K24">
        <v>50.2139168374799</v>
      </c>
      <c r="L24">
        <v>16.7013665875489</v>
      </c>
      <c r="M24">
        <v>6.7427604608942602</v>
      </c>
      <c r="N24">
        <v>2.7473293868166802</v>
      </c>
      <c r="O24">
        <v>261.53000231215202</v>
      </c>
      <c r="P24">
        <v>0.15932634033675</v>
      </c>
      <c r="Q24">
        <v>5.7784239845300803E-2</v>
      </c>
      <c r="R24">
        <v>3.0251452051921701E-2</v>
      </c>
      <c r="S24">
        <v>1.6143886021467799E-2</v>
      </c>
      <c r="T24">
        <v>0.19200059799466701</v>
      </c>
      <c r="U24">
        <v>6.3860231865921005E-2</v>
      </c>
      <c r="V24">
        <v>2.57819768335656E-2</v>
      </c>
      <c r="W24">
        <v>1.0504834483722299E-2</v>
      </c>
    </row>
    <row r="25" spans="1:23">
      <c r="A25">
        <v>25</v>
      </c>
      <c r="B25">
        <v>10</v>
      </c>
      <c r="C25">
        <v>10</v>
      </c>
      <c r="D25" t="s">
        <v>683</v>
      </c>
      <c r="E25">
        <v>3</v>
      </c>
      <c r="F25">
        <v>41.335150085800102</v>
      </c>
      <c r="G25">
        <v>13.457786869986601</v>
      </c>
      <c r="H25">
        <v>6.2560588534855501</v>
      </c>
      <c r="I25">
        <v>3.7285788298826499</v>
      </c>
      <c r="J25">
        <v>232.37769446145401</v>
      </c>
      <c r="K25">
        <v>50.388689994258897</v>
      </c>
      <c r="L25">
        <v>20.681811407615299</v>
      </c>
      <c r="M25">
        <v>9.6500213137691606</v>
      </c>
      <c r="N25">
        <v>5.5672037914577803</v>
      </c>
      <c r="O25">
        <v>258.27932029591301</v>
      </c>
      <c r="P25">
        <v>0.177879164270031</v>
      </c>
      <c r="Q25">
        <v>5.7913419363143599E-2</v>
      </c>
      <c r="R25">
        <v>2.69219421768697E-2</v>
      </c>
      <c r="S25">
        <v>1.6045338768524299E-2</v>
      </c>
      <c r="T25">
        <v>0.195093784266305</v>
      </c>
      <c r="U25">
        <v>8.0075367179687301E-2</v>
      </c>
      <c r="V25">
        <v>3.73627331166623E-2</v>
      </c>
      <c r="W25">
        <v>2.15549730620298E-2</v>
      </c>
    </row>
    <row r="26" spans="1:23">
      <c r="A26">
        <v>57</v>
      </c>
      <c r="B26">
        <v>11</v>
      </c>
      <c r="C26">
        <v>11</v>
      </c>
      <c r="D26" t="s">
        <v>685</v>
      </c>
      <c r="E26">
        <v>3</v>
      </c>
      <c r="F26">
        <v>34.744564169441098</v>
      </c>
      <c r="G26">
        <v>13.1151045816191</v>
      </c>
      <c r="H26">
        <v>4.6358636675211402</v>
      </c>
      <c r="I26">
        <v>2.3963195692900201</v>
      </c>
      <c r="J26">
        <v>145.657123841664</v>
      </c>
      <c r="K26">
        <v>40.843115277531702</v>
      </c>
      <c r="L26">
        <v>9.6405046380478208</v>
      </c>
      <c r="M26">
        <v>5.2364892609342997</v>
      </c>
      <c r="N26">
        <v>3.4670293263699499</v>
      </c>
      <c r="O26">
        <v>237.03308155776401</v>
      </c>
      <c r="P26">
        <v>0.238536662355148</v>
      </c>
      <c r="Q26">
        <v>9.0040941601152003E-2</v>
      </c>
      <c r="R26">
        <v>3.1827236081913297E-2</v>
      </c>
      <c r="S26">
        <v>1.64517842044919E-2</v>
      </c>
      <c r="T26">
        <v>0.17230976794088701</v>
      </c>
      <c r="U26">
        <v>4.0671557635293502E-2</v>
      </c>
      <c r="V26">
        <v>2.20918077194984E-2</v>
      </c>
      <c r="W26">
        <v>1.4626774050208E-2</v>
      </c>
    </row>
    <row r="27" spans="1:23">
      <c r="A27">
        <v>16</v>
      </c>
      <c r="B27">
        <v>35</v>
      </c>
      <c r="C27">
        <v>35</v>
      </c>
      <c r="D27" t="s">
        <v>688</v>
      </c>
      <c r="E27">
        <v>2</v>
      </c>
      <c r="F27">
        <v>41.469682457484303</v>
      </c>
      <c r="G27">
        <v>10.5548765836232</v>
      </c>
      <c r="H27">
        <v>3.0043252460547198</v>
      </c>
      <c r="I27">
        <v>1.6207672571782199</v>
      </c>
      <c r="J27">
        <v>187.06640574375999</v>
      </c>
      <c r="K27">
        <v>70.0025922325176</v>
      </c>
      <c r="L27">
        <v>14.948756131391701</v>
      </c>
      <c r="M27">
        <v>4.7491580954349599</v>
      </c>
      <c r="N27">
        <v>2.8240223111668201</v>
      </c>
      <c r="O27">
        <v>306.26215786957403</v>
      </c>
      <c r="P27">
        <v>0.221684285281498</v>
      </c>
      <c r="Q27">
        <v>5.6423153808177702E-2</v>
      </c>
      <c r="R27">
        <v>1.6060207251589499E-2</v>
      </c>
      <c r="S27">
        <v>8.6641278573466301E-3</v>
      </c>
      <c r="T27">
        <v>0.228570818933266</v>
      </c>
      <c r="U27">
        <v>4.8810327189550799E-2</v>
      </c>
      <c r="V27">
        <v>1.55068393969113E-2</v>
      </c>
      <c r="W27">
        <v>9.2209312793044406E-3</v>
      </c>
    </row>
    <row r="28" spans="1:23">
      <c r="A28">
        <v>7</v>
      </c>
      <c r="B28">
        <v>51</v>
      </c>
      <c r="C28">
        <v>51</v>
      </c>
      <c r="D28" t="s">
        <v>690</v>
      </c>
      <c r="E28">
        <v>1</v>
      </c>
      <c r="F28">
        <v>35.956330671728303</v>
      </c>
      <c r="G28">
        <v>13.417582623388</v>
      </c>
      <c r="H28">
        <v>4.9930277140884796</v>
      </c>
      <c r="I28">
        <v>2.3283712482064698</v>
      </c>
      <c r="J28">
        <v>172.51190877107101</v>
      </c>
      <c r="K28">
        <v>92.468702020322496</v>
      </c>
      <c r="L28">
        <v>14.508075233926</v>
      </c>
      <c r="M28">
        <v>4.92193936293316</v>
      </c>
      <c r="N28">
        <v>2.5879602312164098</v>
      </c>
      <c r="O28">
        <v>517.02000426166205</v>
      </c>
      <c r="P28">
        <v>0.20842810753107699</v>
      </c>
      <c r="Q28">
        <v>7.7777718181726199E-2</v>
      </c>
      <c r="R28">
        <v>2.8943090072201201E-2</v>
      </c>
      <c r="S28">
        <v>1.34968725625562E-2</v>
      </c>
      <c r="T28">
        <v>0.17884936996272299</v>
      </c>
      <c r="U28">
        <v>2.80609553099293E-2</v>
      </c>
      <c r="V28">
        <v>9.5198238411722692E-3</v>
      </c>
      <c r="W28">
        <v>5.0055321068518E-3</v>
      </c>
    </row>
    <row r="29" spans="1:23">
      <c r="A29">
        <v>13</v>
      </c>
      <c r="B29">
        <v>39</v>
      </c>
      <c r="C29">
        <v>39</v>
      </c>
      <c r="D29" t="s">
        <v>81</v>
      </c>
      <c r="E29">
        <v>2</v>
      </c>
      <c r="F29">
        <v>24.801524743547802</v>
      </c>
      <c r="G29">
        <v>9.0116609395321703</v>
      </c>
      <c r="H29">
        <v>3.3212502188298698</v>
      </c>
      <c r="I29">
        <v>1.2832129579365901</v>
      </c>
      <c r="J29">
        <v>112.643396725766</v>
      </c>
      <c r="K29">
        <v>38.437471000165601</v>
      </c>
      <c r="L29">
        <v>13.011740766402101</v>
      </c>
      <c r="M29">
        <v>4.4036477015584703</v>
      </c>
      <c r="N29">
        <v>2.1110956304747299</v>
      </c>
      <c r="O29">
        <v>145.50770866748499</v>
      </c>
      <c r="P29">
        <v>0.22017735139795</v>
      </c>
      <c r="Q29">
        <v>8.0001679649907301E-2</v>
      </c>
      <c r="R29">
        <v>2.9484641935252999E-2</v>
      </c>
      <c r="S29">
        <v>1.13918169660722E-2</v>
      </c>
      <c r="T29">
        <v>0.26416106302658598</v>
      </c>
      <c r="U29">
        <v>8.9423033910434199E-2</v>
      </c>
      <c r="V29">
        <v>3.02640165382696E-2</v>
      </c>
      <c r="W29">
        <v>1.45084796524356E-2</v>
      </c>
    </row>
    <row r="30" spans="1:23">
      <c r="A30">
        <v>68</v>
      </c>
      <c r="B30">
        <v>54</v>
      </c>
      <c r="C30">
        <v>54</v>
      </c>
      <c r="D30" t="s">
        <v>210</v>
      </c>
      <c r="E30">
        <v>1</v>
      </c>
      <c r="F30">
        <v>22.256906049329899</v>
      </c>
      <c r="G30">
        <v>5.5936283126394004</v>
      </c>
      <c r="H30">
        <v>2.5792211990121001</v>
      </c>
      <c r="I30">
        <v>1.4091343063706101</v>
      </c>
      <c r="J30">
        <v>116.19884993962199</v>
      </c>
      <c r="K30">
        <v>66.575796241254693</v>
      </c>
      <c r="L30">
        <v>10.8052209646332</v>
      </c>
      <c r="M30">
        <v>3.8632314437375599</v>
      </c>
      <c r="N30">
        <v>2.80970226773873</v>
      </c>
      <c r="O30">
        <v>341.75374976775601</v>
      </c>
      <c r="P30">
        <v>0.191541534713078</v>
      </c>
      <c r="Q30">
        <v>4.8138413723938803E-2</v>
      </c>
      <c r="R30">
        <v>2.2196615546128801E-2</v>
      </c>
      <c r="S30">
        <v>1.2126921282807899E-2</v>
      </c>
      <c r="T30">
        <v>0.194806337272077</v>
      </c>
      <c r="U30">
        <v>3.1616978517356703E-2</v>
      </c>
      <c r="V30">
        <v>1.1304137690845701E-2</v>
      </c>
      <c r="W30">
        <v>8.22142337764575E-3</v>
      </c>
    </row>
    <row r="31" spans="1:23">
      <c r="A31">
        <v>12</v>
      </c>
      <c r="B31">
        <v>12</v>
      </c>
      <c r="C31">
        <v>12</v>
      </c>
      <c r="D31" t="s">
        <v>0</v>
      </c>
      <c r="E31">
        <v>3</v>
      </c>
      <c r="F31">
        <v>30.526944200900001</v>
      </c>
      <c r="G31">
        <v>14.573374462691</v>
      </c>
      <c r="H31">
        <v>6.0410729781338297</v>
      </c>
      <c r="I31">
        <v>2.5170641968929299</v>
      </c>
      <c r="J31">
        <v>155.03667175787601</v>
      </c>
      <c r="K31">
        <v>44.234133980098797</v>
      </c>
      <c r="L31">
        <v>15.122202334592201</v>
      </c>
      <c r="M31">
        <v>6.1353214590021503</v>
      </c>
      <c r="N31">
        <v>2.9301643947660998</v>
      </c>
      <c r="O31">
        <v>226.062790230627</v>
      </c>
      <c r="P31">
        <v>0.196901441799361</v>
      </c>
      <c r="Q31">
        <v>9.3999531191243005E-2</v>
      </c>
      <c r="R31">
        <v>3.8965445462917997E-2</v>
      </c>
      <c r="S31">
        <v>1.62352827131369E-2</v>
      </c>
      <c r="T31">
        <v>0.19567189246391101</v>
      </c>
      <c r="U31">
        <v>6.6893814409548502E-2</v>
      </c>
      <c r="V31">
        <v>2.7139899727606501E-2</v>
      </c>
      <c r="W31">
        <v>1.2961727986179301E-2</v>
      </c>
    </row>
    <row r="32" spans="1:23">
      <c r="A32">
        <v>18</v>
      </c>
      <c r="B32">
        <v>52</v>
      </c>
      <c r="C32">
        <v>52</v>
      </c>
      <c r="D32" t="s">
        <v>692</v>
      </c>
      <c r="E32">
        <v>1</v>
      </c>
      <c r="F32">
        <v>47.258660903912201</v>
      </c>
      <c r="G32">
        <v>11.532083718848201</v>
      </c>
      <c r="H32">
        <v>5.43290871939009</v>
      </c>
      <c r="I32">
        <v>3.02095546552885</v>
      </c>
      <c r="J32">
        <v>194.90650257729101</v>
      </c>
      <c r="K32">
        <v>65.859593111789806</v>
      </c>
      <c r="L32">
        <v>11.381155807497001</v>
      </c>
      <c r="M32">
        <v>3.75322748127383</v>
      </c>
      <c r="N32">
        <v>2.50951945728269</v>
      </c>
      <c r="O32">
        <v>281.41924900657602</v>
      </c>
      <c r="P32">
        <v>0.24246836446706799</v>
      </c>
      <c r="Q32">
        <v>5.9167260026510002E-2</v>
      </c>
      <c r="R32">
        <v>2.7874435421853801E-2</v>
      </c>
      <c r="S32">
        <v>1.5499510922324799E-2</v>
      </c>
      <c r="T32">
        <v>0.234026610987974</v>
      </c>
      <c r="U32">
        <v>4.04419948090722E-2</v>
      </c>
      <c r="V32">
        <v>1.3336783089724301E-2</v>
      </c>
      <c r="W32">
        <v>8.9173696047495608E-3</v>
      </c>
    </row>
    <row r="33" spans="1:23">
      <c r="A33">
        <v>66</v>
      </c>
      <c r="B33">
        <v>13</v>
      </c>
      <c r="C33">
        <v>13</v>
      </c>
      <c r="D33" t="s">
        <v>694</v>
      </c>
      <c r="E33">
        <v>3</v>
      </c>
      <c r="F33">
        <v>46.836834139990998</v>
      </c>
      <c r="G33">
        <v>8.9860678548266897</v>
      </c>
      <c r="H33">
        <v>4.8172059238555898</v>
      </c>
      <c r="I33">
        <v>1.9843458448428599</v>
      </c>
      <c r="J33">
        <v>290.93732816602801</v>
      </c>
      <c r="K33">
        <v>46.8679664266743</v>
      </c>
      <c r="L33">
        <v>10.9777084950877</v>
      </c>
      <c r="M33">
        <v>5.6289915438025</v>
      </c>
      <c r="N33">
        <v>2.6189655314054301</v>
      </c>
      <c r="O33">
        <v>228.80226090064301</v>
      </c>
      <c r="P33">
        <v>0.160985991159109</v>
      </c>
      <c r="Q33">
        <v>3.0886610224517701E-2</v>
      </c>
      <c r="R33">
        <v>1.6557538196358901E-2</v>
      </c>
      <c r="S33">
        <v>6.8205268033205502E-3</v>
      </c>
      <c r="T33">
        <v>0.20484048646279199</v>
      </c>
      <c r="U33">
        <v>4.79790210633224E-2</v>
      </c>
      <c r="V33">
        <v>2.4601992662331599E-2</v>
      </c>
      <c r="W33">
        <v>1.14464145638085E-2</v>
      </c>
    </row>
    <row r="34" spans="1:23">
      <c r="A34">
        <v>49</v>
      </c>
      <c r="B34">
        <v>36</v>
      </c>
      <c r="C34">
        <v>36</v>
      </c>
      <c r="D34" t="s">
        <v>696</v>
      </c>
      <c r="E34">
        <v>2</v>
      </c>
      <c r="F34">
        <v>8.7615343008086999</v>
      </c>
      <c r="G34">
        <v>6.2064364519684601</v>
      </c>
      <c r="H34">
        <v>3.12167073656112</v>
      </c>
      <c r="I34">
        <v>1.2308562864427699</v>
      </c>
      <c r="J34">
        <v>78.472630131802106</v>
      </c>
      <c r="K34">
        <v>48.038894302142502</v>
      </c>
      <c r="L34">
        <v>16.3616071419256</v>
      </c>
      <c r="M34">
        <v>6.8809763122322298</v>
      </c>
      <c r="N34">
        <v>3.6954356046505201</v>
      </c>
      <c r="O34">
        <v>246.567532168523</v>
      </c>
      <c r="P34">
        <v>0.111650830182356</v>
      </c>
      <c r="Q34">
        <v>7.90904604770373E-2</v>
      </c>
      <c r="R34">
        <v>3.9780376053637802E-2</v>
      </c>
      <c r="S34">
        <v>1.5685166718325001E-2</v>
      </c>
      <c r="T34">
        <v>0.194830575946671</v>
      </c>
      <c r="U34">
        <v>6.6357508622598704E-2</v>
      </c>
      <c r="V34">
        <v>2.7907065669657002E-2</v>
      </c>
      <c r="W34">
        <v>1.4987519127720301E-2</v>
      </c>
    </row>
    <row r="35" spans="1:23">
      <c r="A35">
        <v>29</v>
      </c>
      <c r="B35">
        <v>53</v>
      </c>
      <c r="C35">
        <v>53</v>
      </c>
      <c r="D35" t="s">
        <v>698</v>
      </c>
      <c r="E35">
        <v>1</v>
      </c>
      <c r="F35">
        <v>48.166020073907397</v>
      </c>
      <c r="G35">
        <v>11.7021710648309</v>
      </c>
      <c r="H35">
        <v>5.5225887437214096</v>
      </c>
      <c r="I35">
        <v>2.7886973532426298</v>
      </c>
      <c r="J35">
        <v>254.256115269199</v>
      </c>
      <c r="K35">
        <v>65.610625586894898</v>
      </c>
      <c r="L35">
        <v>12.148067653955801</v>
      </c>
      <c r="M35">
        <v>5.4203203261036199</v>
      </c>
      <c r="N35">
        <v>3.0282822933606801</v>
      </c>
      <c r="O35">
        <v>288.00106540130702</v>
      </c>
      <c r="P35">
        <v>0.18943898369134901</v>
      </c>
      <c r="Q35">
        <v>4.6025131204576797E-2</v>
      </c>
      <c r="R35">
        <v>2.1720573909792699E-2</v>
      </c>
      <c r="S35">
        <v>1.09680640337403E-2</v>
      </c>
      <c r="T35">
        <v>0.22781382942271999</v>
      </c>
      <c r="U35">
        <v>4.2180634425877703E-2</v>
      </c>
      <c r="V35">
        <v>1.8820487065042E-2</v>
      </c>
      <c r="W35">
        <v>1.0514830176551601E-2</v>
      </c>
    </row>
    <row r="36" spans="1:23">
      <c r="A36">
        <v>30</v>
      </c>
      <c r="B36">
        <v>37</v>
      </c>
      <c r="C36">
        <v>37</v>
      </c>
      <c r="D36" t="s">
        <v>700</v>
      </c>
      <c r="E36">
        <v>2</v>
      </c>
      <c r="F36">
        <v>37.771907354382002</v>
      </c>
      <c r="G36">
        <v>13.2868008001912</v>
      </c>
      <c r="H36">
        <v>4.6700955388690897</v>
      </c>
      <c r="I36">
        <v>2.1210870754347502</v>
      </c>
      <c r="J36">
        <v>133.163500121276</v>
      </c>
      <c r="K36">
        <v>44.067031535068999</v>
      </c>
      <c r="L36">
        <v>9.9655540659217792</v>
      </c>
      <c r="M36">
        <v>3.7776351907108099</v>
      </c>
      <c r="N36">
        <v>1.88687472238915</v>
      </c>
      <c r="O36">
        <v>193.49414480338899</v>
      </c>
      <c r="P36">
        <v>0.28365060485780302</v>
      </c>
      <c r="Q36">
        <v>9.9778098263341497E-2</v>
      </c>
      <c r="R36">
        <v>3.5070387415589703E-2</v>
      </c>
      <c r="S36">
        <v>1.5928441904148001E-2</v>
      </c>
      <c r="T36">
        <v>0.227743488464965</v>
      </c>
      <c r="U36">
        <v>5.1503129854641498E-2</v>
      </c>
      <c r="V36">
        <v>1.9523253246496401E-2</v>
      </c>
      <c r="W36">
        <v>9.7515856322495497E-3</v>
      </c>
    </row>
    <row r="37" spans="1:23">
      <c r="A37">
        <v>19</v>
      </c>
      <c r="B37">
        <v>38</v>
      </c>
      <c r="C37">
        <v>38</v>
      </c>
      <c r="D37" t="s">
        <v>702</v>
      </c>
      <c r="E37">
        <v>2</v>
      </c>
      <c r="F37">
        <v>58.471520004059997</v>
      </c>
      <c r="G37">
        <v>17.273983869820601</v>
      </c>
      <c r="H37">
        <v>6.2339735218181902</v>
      </c>
      <c r="I37">
        <v>2.3856720586432898</v>
      </c>
      <c r="J37">
        <v>249.370721982079</v>
      </c>
      <c r="K37">
        <v>56.699801073529898</v>
      </c>
      <c r="L37">
        <v>25.3828941477184</v>
      </c>
      <c r="M37">
        <v>7.9349174686971704</v>
      </c>
      <c r="N37">
        <v>3.2388047812438701</v>
      </c>
      <c r="O37">
        <v>279.10251860323098</v>
      </c>
      <c r="P37">
        <v>0.23447628309895199</v>
      </c>
      <c r="Q37">
        <v>6.9270296579010404E-2</v>
      </c>
      <c r="R37">
        <v>2.4998818916144399E-2</v>
      </c>
      <c r="S37">
        <v>9.5667688639676698E-3</v>
      </c>
      <c r="T37">
        <v>0.20315044578345001</v>
      </c>
      <c r="U37">
        <v>9.0944697578320396E-2</v>
      </c>
      <c r="V37">
        <v>2.84301177517404E-2</v>
      </c>
      <c r="W37">
        <v>1.16043552650563E-2</v>
      </c>
    </row>
    <row r="38" spans="1:23">
      <c r="B38">
        <v>74</v>
      </c>
      <c r="C38">
        <v>74</v>
      </c>
      <c r="D38" t="s">
        <v>706</v>
      </c>
      <c r="E38">
        <v>2</v>
      </c>
      <c r="F38">
        <v>74.161115820838106</v>
      </c>
      <c r="G38">
        <v>13.428997183717099</v>
      </c>
      <c r="H38">
        <v>4.1532108633455396</v>
      </c>
      <c r="I38">
        <v>1.4673057962507301</v>
      </c>
      <c r="J38">
        <v>337.12714464802599</v>
      </c>
      <c r="K38">
        <v>64.234931103904501</v>
      </c>
      <c r="L38">
        <v>9.7718593909926792</v>
      </c>
      <c r="M38">
        <v>3.0910640880965601</v>
      </c>
      <c r="N38">
        <v>1.3771319672843301</v>
      </c>
      <c r="O38">
        <v>229.17790246138901</v>
      </c>
      <c r="P38">
        <v>0.21997966345387401</v>
      </c>
      <c r="Q38">
        <v>3.9833627748182401E-2</v>
      </c>
      <c r="R38">
        <v>1.2319419925920399E-2</v>
      </c>
      <c r="S38">
        <v>4.3523810513171604E-3</v>
      </c>
      <c r="T38">
        <v>0.28028413915135902</v>
      </c>
      <c r="U38">
        <v>4.2638750446889299E-2</v>
      </c>
      <c r="V38">
        <v>1.34876183737537E-2</v>
      </c>
      <c r="W38">
        <v>6.00900851475569E-3</v>
      </c>
    </row>
    <row r="39" spans="1:23">
      <c r="A39">
        <v>11</v>
      </c>
      <c r="B39">
        <v>40</v>
      </c>
      <c r="C39">
        <v>40</v>
      </c>
      <c r="D39" t="s">
        <v>708</v>
      </c>
      <c r="E39">
        <v>2</v>
      </c>
      <c r="F39">
        <v>49.694617672575902</v>
      </c>
      <c r="G39">
        <v>14.496214497581599</v>
      </c>
      <c r="H39">
        <v>4.6491553079142598</v>
      </c>
      <c r="I39">
        <v>2.3182663841220399</v>
      </c>
      <c r="J39">
        <v>229.994429287771</v>
      </c>
      <c r="K39">
        <v>120.913883435448</v>
      </c>
      <c r="L39">
        <v>18.729076561187501</v>
      </c>
      <c r="M39">
        <v>7.24933717227416</v>
      </c>
      <c r="N39">
        <v>3.8052290769308001</v>
      </c>
      <c r="O39">
        <v>501.40435891474903</v>
      </c>
      <c r="P39">
        <v>0.216068788389642</v>
      </c>
      <c r="Q39">
        <v>6.3028546136845207E-2</v>
      </c>
      <c r="R39">
        <v>2.0214208328051299E-2</v>
      </c>
      <c r="S39">
        <v>1.00796631957612E-2</v>
      </c>
      <c r="T39">
        <v>0.24115044332114799</v>
      </c>
      <c r="U39">
        <v>3.7353238415647402E-2</v>
      </c>
      <c r="V39">
        <v>1.4458065717587299E-2</v>
      </c>
      <c r="W39">
        <v>7.5891423943081002E-3</v>
      </c>
    </row>
    <row r="40" spans="1:23">
      <c r="B40">
        <v>75</v>
      </c>
      <c r="C40">
        <v>75</v>
      </c>
      <c r="D40" t="s">
        <v>512</v>
      </c>
      <c r="E40">
        <v>1</v>
      </c>
      <c r="F40">
        <v>106.60843215063301</v>
      </c>
      <c r="G40">
        <v>17.2079458360516</v>
      </c>
      <c r="H40">
        <v>6.6415360425673198</v>
      </c>
      <c r="I40">
        <v>4.8695942962392502</v>
      </c>
      <c r="J40">
        <v>427.16638278600902</v>
      </c>
      <c r="K40">
        <v>91.737519931174205</v>
      </c>
      <c r="L40">
        <v>13.087794783964201</v>
      </c>
      <c r="M40">
        <v>6.0812971874461397</v>
      </c>
      <c r="N40">
        <v>5.0806972082285702</v>
      </c>
      <c r="O40">
        <v>371.46659219106499</v>
      </c>
      <c r="P40">
        <v>0.24957121263926499</v>
      </c>
      <c r="Q40">
        <v>4.02839421113153E-2</v>
      </c>
      <c r="R40">
        <v>1.55478902605836E-2</v>
      </c>
      <c r="S40">
        <v>1.1399760122693701E-2</v>
      </c>
      <c r="T40">
        <v>0.246960350835503</v>
      </c>
      <c r="U40">
        <v>3.5232764019953899E-2</v>
      </c>
      <c r="V40">
        <v>1.6371047397764901E-2</v>
      </c>
      <c r="W40">
        <v>1.3677400108204899E-2</v>
      </c>
    </row>
    <row r="41" spans="1:23">
      <c r="A41">
        <v>73</v>
      </c>
      <c r="B41">
        <v>55</v>
      </c>
      <c r="C41">
        <v>55</v>
      </c>
      <c r="D41" t="s">
        <v>217</v>
      </c>
      <c r="E41">
        <v>1</v>
      </c>
      <c r="F41">
        <v>35.074009059486599</v>
      </c>
      <c r="G41">
        <v>12.3270754121599</v>
      </c>
      <c r="H41">
        <v>4.1010897932482901</v>
      </c>
      <c r="I41">
        <v>3.27608659708382</v>
      </c>
      <c r="J41">
        <v>180.369216508248</v>
      </c>
      <c r="K41">
        <v>58.261975122104502</v>
      </c>
      <c r="L41">
        <v>26.398430334103601</v>
      </c>
      <c r="M41">
        <v>7.1810734463414096</v>
      </c>
      <c r="N41">
        <v>2.9030029807391902</v>
      </c>
      <c r="O41">
        <v>261.35527491716101</v>
      </c>
      <c r="P41">
        <v>0.19445673568074001</v>
      </c>
      <c r="Q41">
        <v>6.8343565774685006E-2</v>
      </c>
      <c r="R41">
        <v>2.2737193589022101E-2</v>
      </c>
      <c r="S41">
        <v>1.8163224637248499E-2</v>
      </c>
      <c r="T41">
        <v>0.22292251472854799</v>
      </c>
      <c r="U41">
        <v>0.101005921317145</v>
      </c>
      <c r="V41">
        <v>2.7476290457950501E-2</v>
      </c>
      <c r="W41">
        <v>1.1107497186193501E-2</v>
      </c>
    </row>
    <row r="42" spans="1:23">
      <c r="A42">
        <v>20</v>
      </c>
      <c r="B42">
        <v>56</v>
      </c>
      <c r="C42">
        <v>56</v>
      </c>
      <c r="D42" t="s">
        <v>712</v>
      </c>
      <c r="E42">
        <v>1</v>
      </c>
      <c r="F42">
        <v>36.904617493774097</v>
      </c>
      <c r="G42">
        <v>14.234204450869001</v>
      </c>
      <c r="H42">
        <v>5.7281662043971702</v>
      </c>
      <c r="I42">
        <v>2.40998755803676</v>
      </c>
      <c r="J42">
        <v>208.89661019694699</v>
      </c>
      <c r="K42">
        <v>67.350342540285695</v>
      </c>
      <c r="L42">
        <v>18.357799286999999</v>
      </c>
      <c r="M42">
        <v>10.326287427934099</v>
      </c>
      <c r="N42">
        <v>5.5154890875808604</v>
      </c>
      <c r="O42">
        <v>286.16961056903398</v>
      </c>
      <c r="P42">
        <v>0.17666451101806099</v>
      </c>
      <c r="Q42">
        <v>6.8139949410615103E-2</v>
      </c>
      <c r="R42">
        <v>2.7421058671065399E-2</v>
      </c>
      <c r="S42">
        <v>1.15367480389683E-2</v>
      </c>
      <c r="T42">
        <v>0.235351134616855</v>
      </c>
      <c r="U42">
        <v>6.4150065586965704E-2</v>
      </c>
      <c r="V42">
        <v>3.6084500403103001E-2</v>
      </c>
      <c r="W42">
        <v>1.92734968489966E-2</v>
      </c>
    </row>
    <row r="43" spans="1:23">
      <c r="A43">
        <v>10</v>
      </c>
      <c r="B43">
        <v>14</v>
      </c>
      <c r="C43">
        <v>14</v>
      </c>
      <c r="D43" t="s">
        <v>714</v>
      </c>
      <c r="E43">
        <v>3</v>
      </c>
      <c r="F43">
        <v>28.261766749686998</v>
      </c>
      <c r="G43">
        <v>8.1135732281986606</v>
      </c>
      <c r="H43">
        <v>2.8196803992182402</v>
      </c>
      <c r="I43">
        <v>1.67973209726731</v>
      </c>
      <c r="J43">
        <v>114.36693774071701</v>
      </c>
      <c r="K43">
        <v>55.086011947996603</v>
      </c>
      <c r="L43">
        <v>8.4652783953630593</v>
      </c>
      <c r="M43">
        <v>2.8910062912901702</v>
      </c>
      <c r="N43">
        <v>1.77767975314738</v>
      </c>
      <c r="O43">
        <v>236.82536507543401</v>
      </c>
      <c r="P43">
        <v>0.24711483325504199</v>
      </c>
      <c r="Q43">
        <v>7.09433459396549E-2</v>
      </c>
      <c r="R43">
        <v>2.4654681282197E-2</v>
      </c>
      <c r="S43">
        <v>1.468721756873E-2</v>
      </c>
      <c r="T43">
        <v>0.23260182426173201</v>
      </c>
      <c r="U43">
        <v>3.5744813029916299E-2</v>
      </c>
      <c r="V43">
        <v>1.2207333831700499E-2</v>
      </c>
      <c r="W43">
        <v>7.5062895082254203E-3</v>
      </c>
    </row>
    <row r="44" spans="1:23">
      <c r="A44">
        <v>37</v>
      </c>
      <c r="B44">
        <v>57</v>
      </c>
      <c r="C44">
        <v>57</v>
      </c>
      <c r="D44" t="s">
        <v>718</v>
      </c>
      <c r="E44">
        <v>1</v>
      </c>
      <c r="F44">
        <v>52.196460566353103</v>
      </c>
      <c r="G44">
        <v>11.3523956295627</v>
      </c>
      <c r="H44">
        <v>6.3035447988847899</v>
      </c>
      <c r="I44">
        <v>3.6866803309544398</v>
      </c>
      <c r="J44">
        <v>250.53232698092901</v>
      </c>
      <c r="K44">
        <v>41.907366135857998</v>
      </c>
      <c r="L44">
        <v>10.171164697702499</v>
      </c>
      <c r="M44">
        <v>5.1201213511398302</v>
      </c>
      <c r="N44">
        <v>2.9728840160074799</v>
      </c>
      <c r="O44">
        <v>190.51201812294701</v>
      </c>
      <c r="P44">
        <v>0.20834221753078</v>
      </c>
      <c r="Q44">
        <v>4.53130969817995E-2</v>
      </c>
      <c r="R44">
        <v>2.51606045209672E-2</v>
      </c>
      <c r="S44">
        <v>1.47153877321192E-2</v>
      </c>
      <c r="T44">
        <v>0.219972296492146</v>
      </c>
      <c r="U44">
        <v>5.3388572531621402E-2</v>
      </c>
      <c r="V44">
        <v>2.6875581926991899E-2</v>
      </c>
      <c r="W44">
        <v>1.56047059146102E-2</v>
      </c>
    </row>
    <row r="45" spans="1:23">
      <c r="A45">
        <v>74</v>
      </c>
      <c r="B45">
        <v>58</v>
      </c>
      <c r="C45">
        <v>58</v>
      </c>
      <c r="D45" t="s">
        <v>216</v>
      </c>
      <c r="E45">
        <v>1</v>
      </c>
      <c r="F45">
        <v>54.897475656850197</v>
      </c>
      <c r="G45">
        <v>18.195328289442902</v>
      </c>
      <c r="H45">
        <v>6.8842735058775304</v>
      </c>
      <c r="I45">
        <v>3.14176833015375</v>
      </c>
      <c r="J45">
        <v>272.91051547260099</v>
      </c>
      <c r="K45">
        <v>65.360365475703802</v>
      </c>
      <c r="L45">
        <v>26.980942706918601</v>
      </c>
      <c r="M45">
        <v>10.0240513359118</v>
      </c>
      <c r="N45">
        <v>4.2336963387264497</v>
      </c>
      <c r="O45">
        <v>364.117026519371</v>
      </c>
      <c r="P45">
        <v>0.20115558963268201</v>
      </c>
      <c r="Q45">
        <v>6.6671407871308902E-2</v>
      </c>
      <c r="R45">
        <v>2.5225387500939601E-2</v>
      </c>
      <c r="S45">
        <v>1.15120823567869E-2</v>
      </c>
      <c r="T45">
        <v>0.179503732908317</v>
      </c>
      <c r="U45">
        <v>7.4099645833187205E-2</v>
      </c>
      <c r="V45">
        <v>2.7529751716728799E-2</v>
      </c>
      <c r="W45">
        <v>1.16272957054405E-2</v>
      </c>
    </row>
    <row r="46" spans="1:23">
      <c r="A46">
        <v>5</v>
      </c>
      <c r="B46">
        <v>15</v>
      </c>
      <c r="C46">
        <v>15</v>
      </c>
      <c r="D46" t="s">
        <v>5</v>
      </c>
      <c r="E46">
        <v>3</v>
      </c>
      <c r="F46">
        <v>31.1157569119996</v>
      </c>
      <c r="G46">
        <v>11.1369680298668</v>
      </c>
      <c r="H46">
        <v>4.2271898722516399</v>
      </c>
      <c r="I46">
        <v>1.9439613935365201</v>
      </c>
      <c r="J46">
        <v>134.77728386395401</v>
      </c>
      <c r="K46">
        <v>48.201895477610002</v>
      </c>
      <c r="L46">
        <v>16.585452070695801</v>
      </c>
      <c r="M46">
        <v>5.9606744927404502</v>
      </c>
      <c r="N46">
        <v>3.0401822404056098</v>
      </c>
      <c r="O46">
        <v>223.61528518122901</v>
      </c>
      <c r="P46">
        <v>0.23086796246323099</v>
      </c>
      <c r="Q46">
        <v>8.2632382183251293E-2</v>
      </c>
      <c r="R46">
        <v>3.1364260734907203E-2</v>
      </c>
      <c r="S46">
        <v>1.44235091983214E-2</v>
      </c>
      <c r="T46">
        <v>0.21555724796963199</v>
      </c>
      <c r="U46">
        <v>7.4169581284455305E-2</v>
      </c>
      <c r="V46">
        <v>2.66559349371383E-2</v>
      </c>
      <c r="W46">
        <v>1.35955922599016E-2</v>
      </c>
    </row>
    <row r="47" spans="1:23">
      <c r="A47">
        <v>4</v>
      </c>
      <c r="B47">
        <v>16</v>
      </c>
      <c r="C47">
        <v>16</v>
      </c>
      <c r="D47" t="s">
        <v>722</v>
      </c>
      <c r="E47">
        <v>3</v>
      </c>
      <c r="F47">
        <v>43.204840573424804</v>
      </c>
      <c r="G47">
        <v>9.5134184297080804</v>
      </c>
      <c r="H47">
        <v>3.7098235406476201</v>
      </c>
      <c r="I47">
        <v>2.0423851531184001</v>
      </c>
      <c r="J47">
        <v>229.305304421899</v>
      </c>
      <c r="K47">
        <v>90.858338014710895</v>
      </c>
      <c r="L47">
        <v>15.7022687123522</v>
      </c>
      <c r="M47">
        <v>5.25470078823228</v>
      </c>
      <c r="N47">
        <v>2.67382962204334</v>
      </c>
      <c r="O47">
        <v>436.82653538022601</v>
      </c>
      <c r="P47">
        <v>0.188416228234879</v>
      </c>
      <c r="Q47">
        <v>4.1487999824916098E-2</v>
      </c>
      <c r="R47">
        <v>1.61785334621912E-2</v>
      </c>
      <c r="S47">
        <v>8.9068377997947208E-3</v>
      </c>
      <c r="T47">
        <v>0.207996379926016</v>
      </c>
      <c r="U47">
        <v>3.5946233666149699E-2</v>
      </c>
      <c r="V47">
        <v>1.20292618754455E-2</v>
      </c>
      <c r="W47">
        <v>6.1210329626975703E-3</v>
      </c>
    </row>
    <row r="48" spans="1:23">
      <c r="A48">
        <v>2</v>
      </c>
      <c r="B48">
        <v>59</v>
      </c>
      <c r="C48">
        <v>59</v>
      </c>
      <c r="D48" t="s">
        <v>724</v>
      </c>
      <c r="E48">
        <v>1</v>
      </c>
      <c r="F48">
        <v>45.976416865939903</v>
      </c>
      <c r="G48">
        <v>9.3402344422596908</v>
      </c>
      <c r="H48">
        <v>4.1352427494455801</v>
      </c>
      <c r="I48">
        <v>2.74882934569652</v>
      </c>
      <c r="J48">
        <v>232.12898532838801</v>
      </c>
      <c r="K48">
        <v>37.9421151609737</v>
      </c>
      <c r="L48">
        <v>8.1277130349157503</v>
      </c>
      <c r="M48">
        <v>3.42174202287213</v>
      </c>
      <c r="N48">
        <v>2.5153596581373399</v>
      </c>
      <c r="O48">
        <v>232.58607886372201</v>
      </c>
      <c r="P48">
        <v>0.198064092689235</v>
      </c>
      <c r="Q48">
        <v>4.0237260456923302E-2</v>
      </c>
      <c r="R48">
        <v>1.7814417891826501E-2</v>
      </c>
      <c r="S48">
        <v>1.1841818641510101E-2</v>
      </c>
      <c r="T48">
        <v>0.163131496718705</v>
      </c>
      <c r="U48">
        <v>3.4944967792668299E-2</v>
      </c>
      <c r="V48">
        <v>1.4711723244953999E-2</v>
      </c>
      <c r="W48">
        <v>1.0814747255837099E-2</v>
      </c>
    </row>
    <row r="49" spans="1:23">
      <c r="A49">
        <v>58</v>
      </c>
      <c r="B49">
        <v>60</v>
      </c>
      <c r="C49">
        <v>60</v>
      </c>
      <c r="D49" t="s">
        <v>46</v>
      </c>
      <c r="E49">
        <v>1</v>
      </c>
      <c r="F49">
        <v>33.611677586957803</v>
      </c>
      <c r="G49">
        <v>7.9299056225523001</v>
      </c>
      <c r="H49">
        <v>3.8646021613280102</v>
      </c>
      <c r="I49">
        <v>2.4643688129191799</v>
      </c>
      <c r="J49">
        <v>222.57316882800899</v>
      </c>
      <c r="K49">
        <v>60.443885634736397</v>
      </c>
      <c r="L49">
        <v>7.5745256158276897</v>
      </c>
      <c r="M49">
        <v>3.17701966636404</v>
      </c>
      <c r="N49">
        <v>2.2688210603982499</v>
      </c>
      <c r="O49">
        <v>312.23439393755302</v>
      </c>
      <c r="P49">
        <v>0.15101405872030699</v>
      </c>
      <c r="Q49">
        <v>3.5628308948056797E-2</v>
      </c>
      <c r="R49">
        <v>1.7363288583604301E-2</v>
      </c>
      <c r="S49">
        <v>1.10721738199427E-2</v>
      </c>
      <c r="T49">
        <v>0.19358496952397</v>
      </c>
      <c r="U49">
        <v>2.4259100736168802E-2</v>
      </c>
      <c r="V49">
        <v>1.01751111602377E-2</v>
      </c>
      <c r="W49">
        <v>7.2664033958155698E-3</v>
      </c>
    </row>
    <row r="50" spans="1:23">
      <c r="B50">
        <v>76</v>
      </c>
      <c r="C50">
        <v>77</v>
      </c>
      <c r="D50" t="s">
        <v>728</v>
      </c>
      <c r="E50">
        <v>3</v>
      </c>
      <c r="F50">
        <v>32.425055124808502</v>
      </c>
      <c r="G50">
        <v>8.6085875557993301</v>
      </c>
      <c r="H50">
        <v>3.19985805327754</v>
      </c>
      <c r="I50">
        <v>1.0437614954412799</v>
      </c>
      <c r="J50">
        <v>139.61033758096201</v>
      </c>
      <c r="K50">
        <v>48.6561596800126</v>
      </c>
      <c r="L50">
        <v>11.322518115773599</v>
      </c>
      <c r="M50">
        <v>4.6862078589549396</v>
      </c>
      <c r="N50">
        <v>2.5437732909853699</v>
      </c>
      <c r="O50">
        <v>213.04114098945999</v>
      </c>
      <c r="P50">
        <v>0.232253969775016</v>
      </c>
      <c r="Q50">
        <v>6.1661533844563E-2</v>
      </c>
      <c r="R50">
        <v>2.2919922039597598E-2</v>
      </c>
      <c r="S50">
        <v>7.4762479163549599E-3</v>
      </c>
      <c r="T50">
        <v>0.22838856126113199</v>
      </c>
      <c r="U50">
        <v>5.3147096674316802E-2</v>
      </c>
      <c r="V50">
        <v>2.19967271917061E-2</v>
      </c>
      <c r="W50">
        <v>1.19402913407755E-2</v>
      </c>
    </row>
    <row r="51" spans="1:23">
      <c r="B51">
        <v>77</v>
      </c>
      <c r="C51">
        <v>78</v>
      </c>
      <c r="D51" t="s">
        <v>730</v>
      </c>
      <c r="E51">
        <v>3</v>
      </c>
      <c r="F51">
        <v>22.616345647963001</v>
      </c>
      <c r="G51">
        <v>9.8487361143754395</v>
      </c>
      <c r="H51">
        <v>3.8047526495719999</v>
      </c>
      <c r="I51">
        <v>2.3083356604644001</v>
      </c>
      <c r="J51">
        <v>122.486412776465</v>
      </c>
      <c r="K51">
        <v>27.6983903273998</v>
      </c>
      <c r="L51">
        <v>5.0698854126957897</v>
      </c>
      <c r="M51">
        <v>2.3518035362584202</v>
      </c>
      <c r="N51">
        <v>1.8251362852239399</v>
      </c>
      <c r="O51">
        <v>116.56463547551201</v>
      </c>
      <c r="P51">
        <v>0.18464370974140101</v>
      </c>
      <c r="Q51">
        <v>8.0406764237182696E-2</v>
      </c>
      <c r="R51">
        <v>3.1062650651020401E-2</v>
      </c>
      <c r="S51">
        <v>1.8845646697785701E-2</v>
      </c>
      <c r="T51">
        <v>0.23762258779781301</v>
      </c>
      <c r="U51">
        <v>4.34941986650908E-2</v>
      </c>
      <c r="V51">
        <v>2.01759609736222E-2</v>
      </c>
      <c r="W51">
        <v>1.56577188079258E-2</v>
      </c>
    </row>
    <row r="52" spans="1:23">
      <c r="A52">
        <v>62</v>
      </c>
      <c r="B52">
        <v>17</v>
      </c>
      <c r="C52">
        <v>17</v>
      </c>
      <c r="D52" t="s">
        <v>206</v>
      </c>
      <c r="E52">
        <v>3</v>
      </c>
      <c r="F52">
        <v>22.690796044378398</v>
      </c>
      <c r="G52">
        <v>4.3633880582199804</v>
      </c>
      <c r="H52">
        <v>3.0757413704755301</v>
      </c>
      <c r="I52">
        <v>1.38745485476203</v>
      </c>
      <c r="J52">
        <v>180.510579845813</v>
      </c>
      <c r="K52">
        <v>42.552941402184999</v>
      </c>
      <c r="L52">
        <v>5.0701383717347097</v>
      </c>
      <c r="M52">
        <v>2.1449017678982298</v>
      </c>
      <c r="N52">
        <v>1.31888764392542</v>
      </c>
      <c r="O52">
        <v>258.72917631166598</v>
      </c>
      <c r="P52">
        <v>0.12570341341632299</v>
      </c>
      <c r="Q52">
        <v>2.4172478211233198E-2</v>
      </c>
      <c r="R52">
        <v>1.7039119663250401E-2</v>
      </c>
      <c r="S52">
        <v>7.6862799728811401E-3</v>
      </c>
      <c r="T52">
        <v>0.16446904832613701</v>
      </c>
      <c r="U52">
        <v>1.9596314741199501E-2</v>
      </c>
      <c r="V52">
        <v>8.2901426057743095E-3</v>
      </c>
      <c r="W52">
        <v>5.0975605562810101E-3</v>
      </c>
    </row>
    <row r="53" spans="1:23">
      <c r="B53">
        <v>78</v>
      </c>
      <c r="C53">
        <v>79</v>
      </c>
      <c r="D53" t="s">
        <v>733</v>
      </c>
      <c r="E53">
        <v>3</v>
      </c>
      <c r="F53">
        <v>33.429000821919097</v>
      </c>
      <c r="G53">
        <v>8.9277021390484705</v>
      </c>
      <c r="H53">
        <v>2.65810412148952</v>
      </c>
      <c r="I53">
        <v>1.2326516699055901</v>
      </c>
      <c r="J53">
        <v>120.560815422847</v>
      </c>
      <c r="K53">
        <v>49.2151823624882</v>
      </c>
      <c r="L53">
        <v>11.4804437429245</v>
      </c>
      <c r="M53">
        <v>4.4635140050016098</v>
      </c>
      <c r="N53">
        <v>2.8406909277241099</v>
      </c>
      <c r="O53">
        <v>172.68593575180699</v>
      </c>
      <c r="P53">
        <v>0.27727915330260799</v>
      </c>
      <c r="Q53">
        <v>7.4051441239311802E-2</v>
      </c>
      <c r="R53">
        <v>2.20478279959095E-2</v>
      </c>
      <c r="S53">
        <v>1.02243143062882E-2</v>
      </c>
      <c r="T53">
        <v>0.28499820873208098</v>
      </c>
      <c r="U53">
        <v>6.6481637273719502E-2</v>
      </c>
      <c r="V53">
        <v>2.5847582697277698E-2</v>
      </c>
      <c r="W53">
        <v>1.6450042184135299E-2</v>
      </c>
    </row>
    <row r="54" spans="1:23">
      <c r="A54">
        <v>26</v>
      </c>
      <c r="B54">
        <v>18</v>
      </c>
      <c r="C54">
        <v>18</v>
      </c>
      <c r="D54" t="s">
        <v>735</v>
      </c>
      <c r="E54">
        <v>3</v>
      </c>
      <c r="F54">
        <v>24.052754646340599</v>
      </c>
      <c r="G54">
        <v>17.4558499147794</v>
      </c>
      <c r="H54">
        <v>7.5790025686680798</v>
      </c>
      <c r="I54">
        <v>2.8835078891075301</v>
      </c>
      <c r="J54">
        <v>100.546023134927</v>
      </c>
      <c r="K54">
        <v>9.0887164201372901</v>
      </c>
      <c r="L54">
        <v>7.0849622700027899</v>
      </c>
      <c r="M54">
        <v>3.4310513345049301</v>
      </c>
      <c r="N54">
        <v>1.4967486354589401</v>
      </c>
      <c r="O54">
        <v>44.893636811387502</v>
      </c>
      <c r="P54">
        <v>0.23922134258918501</v>
      </c>
      <c r="Q54">
        <v>0.17361054540520801</v>
      </c>
      <c r="R54">
        <v>7.5378441954859599E-2</v>
      </c>
      <c r="S54">
        <v>2.86784877134128E-2</v>
      </c>
      <c r="T54">
        <v>0.20244999215193701</v>
      </c>
      <c r="U54">
        <v>0.15781662554470599</v>
      </c>
      <c r="V54">
        <v>7.64262282630358E-2</v>
      </c>
      <c r="W54">
        <v>3.3339883817995401E-2</v>
      </c>
    </row>
    <row r="55" spans="1:23">
      <c r="A55">
        <v>35</v>
      </c>
      <c r="B55">
        <v>21</v>
      </c>
      <c r="C55">
        <v>21</v>
      </c>
      <c r="D55" t="s">
        <v>743</v>
      </c>
      <c r="E55">
        <v>3</v>
      </c>
      <c r="F55">
        <v>55.875173781740401</v>
      </c>
      <c r="G55">
        <v>9.5600167767415005</v>
      </c>
      <c r="H55">
        <v>4.26530881969164</v>
      </c>
      <c r="I55">
        <v>2.5104865668826801</v>
      </c>
      <c r="J55">
        <v>348.95522336789901</v>
      </c>
      <c r="K55">
        <v>87.907040072732897</v>
      </c>
      <c r="L55">
        <v>12.5974918792342</v>
      </c>
      <c r="M55">
        <v>4.1060527275160901</v>
      </c>
      <c r="N55">
        <v>2.7666954010862401</v>
      </c>
      <c r="O55">
        <v>490.89086216379599</v>
      </c>
      <c r="P55">
        <v>0.16012132801013301</v>
      </c>
      <c r="Q55">
        <v>2.73961131301436E-2</v>
      </c>
      <c r="R55">
        <v>1.2223083461899599E-2</v>
      </c>
      <c r="S55">
        <v>7.1942942783690903E-3</v>
      </c>
      <c r="T55">
        <v>0.17907654602745701</v>
      </c>
      <c r="U55">
        <v>2.56625104482609E-2</v>
      </c>
      <c r="V55">
        <v>8.3644920775608495E-3</v>
      </c>
      <c r="W55">
        <v>5.6360702843213104E-3</v>
      </c>
    </row>
    <row r="56" spans="1:23">
      <c r="A56">
        <v>64</v>
      </c>
      <c r="B56">
        <v>20</v>
      </c>
      <c r="C56">
        <v>20</v>
      </c>
      <c r="D56" t="s">
        <v>209</v>
      </c>
      <c r="E56">
        <v>3</v>
      </c>
      <c r="F56">
        <v>31.6307824184411</v>
      </c>
      <c r="G56">
        <v>7.3792524416361402</v>
      </c>
      <c r="H56">
        <v>3.1134546855517198</v>
      </c>
      <c r="I56">
        <v>1.93194482479712</v>
      </c>
      <c r="J56">
        <v>131.957019406261</v>
      </c>
      <c r="K56">
        <v>37.874037846596998</v>
      </c>
      <c r="L56">
        <v>9.7522637946258204</v>
      </c>
      <c r="M56">
        <v>4.1219052985604296</v>
      </c>
      <c r="N56">
        <v>2.7557020943287598</v>
      </c>
      <c r="O56">
        <v>157.90952842508901</v>
      </c>
      <c r="P56">
        <v>0.23970519007449101</v>
      </c>
      <c r="Q56">
        <v>5.5921636263375797E-2</v>
      </c>
      <c r="R56">
        <v>2.3594460526318899E-2</v>
      </c>
      <c r="S56">
        <v>1.4640712813080201E-2</v>
      </c>
      <c r="T56">
        <v>0.23984643754138099</v>
      </c>
      <c r="U56">
        <v>6.1758551823250102E-2</v>
      </c>
      <c r="V56">
        <v>2.6102954898733901E-2</v>
      </c>
      <c r="W56">
        <v>1.7451145107029099E-2</v>
      </c>
    </row>
    <row r="57" spans="1:23">
      <c r="A57">
        <v>44</v>
      </c>
      <c r="B57">
        <v>41</v>
      </c>
      <c r="C57">
        <v>41</v>
      </c>
      <c r="D57" t="s">
        <v>737</v>
      </c>
      <c r="E57">
        <v>2</v>
      </c>
      <c r="F57">
        <v>52.462545232889902</v>
      </c>
      <c r="G57">
        <v>13.996584313002</v>
      </c>
      <c r="H57">
        <v>5.9905570367102197</v>
      </c>
      <c r="I57">
        <v>2.6895679339191201</v>
      </c>
      <c r="J57">
        <v>270.46384206607399</v>
      </c>
      <c r="K57">
        <v>62.057024855185801</v>
      </c>
      <c r="L57">
        <v>16.325536808803101</v>
      </c>
      <c r="M57">
        <v>6.5525745011157301</v>
      </c>
      <c r="N57">
        <v>3.5573069180052999</v>
      </c>
      <c r="O57">
        <v>302.87995199557901</v>
      </c>
      <c r="P57">
        <v>0.193972491228877</v>
      </c>
      <c r="Q57">
        <v>5.1750297585370399E-2</v>
      </c>
      <c r="R57">
        <v>2.2149197434113001E-2</v>
      </c>
      <c r="S57">
        <v>9.9442791072311305E-3</v>
      </c>
      <c r="T57">
        <v>0.204889839840214</v>
      </c>
      <c r="U57">
        <v>5.3901014911153303E-2</v>
      </c>
      <c r="V57">
        <v>2.1634229858869501E-2</v>
      </c>
      <c r="W57">
        <v>1.17449401803168E-2</v>
      </c>
    </row>
    <row r="58" spans="1:23">
      <c r="A58">
        <v>59</v>
      </c>
      <c r="B58">
        <v>19</v>
      </c>
      <c r="C58">
        <v>19</v>
      </c>
      <c r="D58" t="s">
        <v>202</v>
      </c>
      <c r="E58">
        <v>3</v>
      </c>
      <c r="F58">
        <v>15.887242692762401</v>
      </c>
      <c r="G58">
        <v>3.8827134556713898</v>
      </c>
      <c r="H58">
        <v>2.0950245243131902</v>
      </c>
      <c r="I58">
        <v>0.96136179558673795</v>
      </c>
      <c r="J58">
        <v>114.75175041169101</v>
      </c>
      <c r="K58">
        <v>31.611933620148701</v>
      </c>
      <c r="L58">
        <v>5.8169904897673197</v>
      </c>
      <c r="M58">
        <v>2.1334897750091701</v>
      </c>
      <c r="N58">
        <v>1.50062442351051</v>
      </c>
      <c r="O58">
        <v>177.43022705480601</v>
      </c>
      <c r="P58">
        <v>0.138448804796129</v>
      </c>
      <c r="Q58">
        <v>3.38357667028302E-2</v>
      </c>
      <c r="R58">
        <v>1.82570158345902E-2</v>
      </c>
      <c r="S58">
        <v>8.3777527762120291E-3</v>
      </c>
      <c r="T58">
        <v>0.17816543519602299</v>
      </c>
      <c r="U58">
        <v>3.2784664633103998E-2</v>
      </c>
      <c r="V58">
        <v>1.20243873348038E-2</v>
      </c>
      <c r="W58">
        <v>8.4575466560552898E-3</v>
      </c>
    </row>
    <row r="59" spans="1:23">
      <c r="A59">
        <v>21</v>
      </c>
      <c r="B59">
        <v>61</v>
      </c>
      <c r="C59">
        <v>61</v>
      </c>
      <c r="D59" t="s">
        <v>741</v>
      </c>
      <c r="E59">
        <v>1</v>
      </c>
      <c r="F59">
        <v>44.6988470223246</v>
      </c>
      <c r="G59">
        <v>15.429827672418099</v>
      </c>
      <c r="H59">
        <v>6.30632291572394</v>
      </c>
      <c r="I59">
        <v>3.2038483849463999</v>
      </c>
      <c r="J59">
        <v>215.90964578944499</v>
      </c>
      <c r="K59">
        <v>38.590690692780903</v>
      </c>
      <c r="L59">
        <v>13.458877862473701</v>
      </c>
      <c r="M59">
        <v>6.3735412765729897</v>
      </c>
      <c r="N59">
        <v>3.7505580982092002</v>
      </c>
      <c r="O59">
        <v>220.82929859508801</v>
      </c>
      <c r="P59">
        <v>0.20702570678993601</v>
      </c>
      <c r="Q59">
        <v>7.1464281347880396E-2</v>
      </c>
      <c r="R59">
        <v>2.9208157387622499E-2</v>
      </c>
      <c r="S59">
        <v>1.48388385948759E-2</v>
      </c>
      <c r="T59">
        <v>0.17475349031262699</v>
      </c>
      <c r="U59">
        <v>6.0946975551246202E-2</v>
      </c>
      <c r="V59">
        <v>2.8861846308987801E-2</v>
      </c>
      <c r="W59">
        <v>1.6983969618479901E-2</v>
      </c>
    </row>
    <row r="60" spans="1:23">
      <c r="A60">
        <v>52</v>
      </c>
      <c r="B60">
        <v>62</v>
      </c>
      <c r="C60">
        <v>62</v>
      </c>
      <c r="D60" t="s">
        <v>745</v>
      </c>
      <c r="E60">
        <v>1</v>
      </c>
      <c r="F60">
        <v>31.7398750060282</v>
      </c>
      <c r="G60">
        <v>9.6724251878122001</v>
      </c>
      <c r="H60">
        <v>4.1112907481846603</v>
      </c>
      <c r="I60">
        <v>2.2269928894451501</v>
      </c>
      <c r="J60">
        <v>162.723394871073</v>
      </c>
      <c r="K60">
        <v>37.961170752162197</v>
      </c>
      <c r="L60">
        <v>9.4223888510035891</v>
      </c>
      <c r="M60">
        <v>3.7753259459674</v>
      </c>
      <c r="N60">
        <v>2.3786617505566401</v>
      </c>
      <c r="O60">
        <v>168.35670409082201</v>
      </c>
      <c r="P60">
        <v>0.195054159429109</v>
      </c>
      <c r="Q60">
        <v>5.9440900894894198E-2</v>
      </c>
      <c r="R60">
        <v>2.5265517299722401E-2</v>
      </c>
      <c r="S60">
        <v>1.36857573012756E-2</v>
      </c>
      <c r="T60">
        <v>0.22548060059243999</v>
      </c>
      <c r="U60">
        <v>5.5966817014430098E-2</v>
      </c>
      <c r="V60">
        <v>2.2424565545847E-2</v>
      </c>
      <c r="W60">
        <v>1.4128702289594799E-2</v>
      </c>
    </row>
    <row r="61" spans="1:23">
      <c r="A61">
        <v>77</v>
      </c>
      <c r="B61">
        <v>42</v>
      </c>
      <c r="C61">
        <v>42</v>
      </c>
      <c r="D61" t="s">
        <v>219</v>
      </c>
      <c r="E61">
        <v>2</v>
      </c>
      <c r="F61">
        <v>17.234091287437099</v>
      </c>
      <c r="G61">
        <v>5.7926274816091299</v>
      </c>
      <c r="H61">
        <v>1.8549671521396001</v>
      </c>
      <c r="I61">
        <v>1.0766859672729601</v>
      </c>
      <c r="J61">
        <v>85.370597874204407</v>
      </c>
      <c r="K61">
        <v>25.173496691147001</v>
      </c>
      <c r="L61">
        <v>9.0216825157960496</v>
      </c>
      <c r="M61">
        <v>3.3878927992664098</v>
      </c>
      <c r="N61">
        <v>1.7910214425553199</v>
      </c>
      <c r="O61">
        <v>122.352088180564</v>
      </c>
      <c r="P61">
        <v>0.20187385020814699</v>
      </c>
      <c r="Q61">
        <v>6.7852722434305804E-2</v>
      </c>
      <c r="R61">
        <v>2.1728407652397301E-2</v>
      </c>
      <c r="S61">
        <v>1.26119061372802E-2</v>
      </c>
      <c r="T61">
        <v>0.205746359261123</v>
      </c>
      <c r="U61">
        <v>7.3735419231113195E-2</v>
      </c>
      <c r="V61">
        <v>2.76897014970977E-2</v>
      </c>
      <c r="W61">
        <v>1.4638258072981801E-2</v>
      </c>
    </row>
    <row r="62" spans="1:23">
      <c r="A62">
        <v>71</v>
      </c>
      <c r="B62">
        <v>63</v>
      </c>
      <c r="C62">
        <v>63</v>
      </c>
      <c r="D62" t="s">
        <v>820</v>
      </c>
      <c r="E62">
        <v>1</v>
      </c>
      <c r="F62">
        <v>86.119539113832602</v>
      </c>
      <c r="G62">
        <v>59.957364705676099</v>
      </c>
      <c r="H62">
        <v>19.966999384384099</v>
      </c>
      <c r="I62">
        <v>7.6536632251204102</v>
      </c>
      <c r="J62">
        <v>389.26491490268597</v>
      </c>
      <c r="K62">
        <v>153.26683016374599</v>
      </c>
      <c r="L62">
        <v>103.459785815749</v>
      </c>
      <c r="M62">
        <v>35.139243730692897</v>
      </c>
      <c r="N62">
        <v>14.1388715142156</v>
      </c>
      <c r="O62">
        <v>674.73774513207195</v>
      </c>
      <c r="P62">
        <v>0.221236324715681</v>
      </c>
      <c r="Q62">
        <v>0.15402714812010501</v>
      </c>
      <c r="R62">
        <v>5.1294115189846501E-2</v>
      </c>
      <c r="S62">
        <v>1.9661836790592298E-2</v>
      </c>
      <c r="T62">
        <v>0.22715022431974</v>
      </c>
      <c r="U62">
        <v>0.153333330708359</v>
      </c>
      <c r="V62">
        <v>5.2078372648049702E-2</v>
      </c>
      <c r="W62">
        <v>2.0954617725510698E-2</v>
      </c>
    </row>
    <row r="63" spans="1:23">
      <c r="A63">
        <v>39</v>
      </c>
      <c r="B63">
        <v>64</v>
      </c>
      <c r="C63">
        <v>64</v>
      </c>
      <c r="D63" t="s">
        <v>749</v>
      </c>
      <c r="E63">
        <v>1</v>
      </c>
      <c r="F63">
        <v>8.4287983314814792</v>
      </c>
      <c r="G63">
        <v>4.3667699284612196</v>
      </c>
      <c r="H63">
        <v>1.95858264247323</v>
      </c>
      <c r="I63">
        <v>0.56267845980862796</v>
      </c>
      <c r="J63">
        <v>127.22451749518299</v>
      </c>
      <c r="K63">
        <v>47.659313161005699</v>
      </c>
      <c r="L63">
        <v>6.0651833302300098</v>
      </c>
      <c r="M63">
        <v>5.9167531637400197</v>
      </c>
      <c r="N63">
        <v>1.4318659253149999</v>
      </c>
      <c r="O63">
        <v>136.82886124598201</v>
      </c>
      <c r="P63">
        <v>6.6251368033685698E-2</v>
      </c>
      <c r="Q63">
        <v>3.4323336526912301E-2</v>
      </c>
      <c r="R63">
        <v>1.5394694993025799E-2</v>
      </c>
      <c r="S63">
        <v>4.4227203284927397E-3</v>
      </c>
      <c r="T63">
        <v>0.34831330705389002</v>
      </c>
      <c r="U63">
        <v>4.4326783655141602E-2</v>
      </c>
      <c r="V63">
        <v>4.32419966800957E-2</v>
      </c>
      <c r="W63">
        <v>1.04646484102567E-2</v>
      </c>
    </row>
    <row r="64" spans="1:23">
      <c r="A64">
        <v>22</v>
      </c>
      <c r="B64">
        <v>65</v>
      </c>
      <c r="C64">
        <v>65</v>
      </c>
      <c r="D64" t="s">
        <v>751</v>
      </c>
      <c r="E64">
        <v>1</v>
      </c>
      <c r="F64">
        <v>61.391321188337201</v>
      </c>
      <c r="G64">
        <v>10.042207446050099</v>
      </c>
      <c r="H64">
        <v>4.1077176176519004</v>
      </c>
      <c r="I64">
        <v>2.6213246843206801</v>
      </c>
      <c r="J64">
        <v>343.11304306145001</v>
      </c>
      <c r="K64">
        <v>55.103882177707298</v>
      </c>
      <c r="L64">
        <v>15.9226877760606</v>
      </c>
      <c r="M64">
        <v>5.1475488651881998</v>
      </c>
      <c r="N64">
        <v>4.0102835711707998</v>
      </c>
      <c r="O64">
        <v>377.90762242202101</v>
      </c>
      <c r="P64">
        <v>0.17892447527079999</v>
      </c>
      <c r="Q64">
        <v>2.92679268513018E-2</v>
      </c>
      <c r="R64">
        <v>1.1971907511881499E-2</v>
      </c>
      <c r="S64">
        <v>7.6398281479821703E-3</v>
      </c>
      <c r="T64">
        <v>0.145813100631696</v>
      </c>
      <c r="U64">
        <v>4.2133809511466398E-2</v>
      </c>
      <c r="V64">
        <v>1.3621182955235E-2</v>
      </c>
      <c r="W64">
        <v>1.0611809165077901E-2</v>
      </c>
    </row>
    <row r="65" spans="1:23">
      <c r="A65">
        <v>79</v>
      </c>
      <c r="B65">
        <v>23</v>
      </c>
      <c r="C65">
        <v>23</v>
      </c>
      <c r="D65" t="s">
        <v>223</v>
      </c>
      <c r="E65">
        <v>3</v>
      </c>
      <c r="F65">
        <v>42.500863097266397</v>
      </c>
      <c r="G65">
        <v>13.224659311366599</v>
      </c>
      <c r="H65">
        <v>4.9594631442334496</v>
      </c>
      <c r="I65">
        <v>2.1014875656931098</v>
      </c>
      <c r="J65">
        <v>267.50777080570703</v>
      </c>
      <c r="K65">
        <v>69.428067323487596</v>
      </c>
      <c r="L65">
        <v>16.541635543091701</v>
      </c>
      <c r="M65">
        <v>4.6449124540199396</v>
      </c>
      <c r="N65">
        <v>2.2096867246201102</v>
      </c>
      <c r="O65">
        <v>310.88176157782499</v>
      </c>
      <c r="P65">
        <v>0.15887711586567399</v>
      </c>
      <c r="Q65">
        <v>4.9436542615324E-2</v>
      </c>
      <c r="R65">
        <v>1.8539510569341701E-2</v>
      </c>
      <c r="S65">
        <v>7.8558000740077093E-3</v>
      </c>
      <c r="T65">
        <v>0.22332627996932899</v>
      </c>
      <c r="U65">
        <v>5.32087680510352E-2</v>
      </c>
      <c r="V65">
        <v>1.4941090241014801E-2</v>
      </c>
      <c r="W65">
        <v>7.1078043092822202E-3</v>
      </c>
    </row>
    <row r="66" spans="1:23">
      <c r="A66">
        <v>63</v>
      </c>
      <c r="B66">
        <v>22</v>
      </c>
      <c r="C66">
        <v>22</v>
      </c>
      <c r="D66" t="s">
        <v>753</v>
      </c>
      <c r="E66">
        <v>3</v>
      </c>
      <c r="F66">
        <v>75.974591725198906</v>
      </c>
      <c r="G66">
        <v>51.629970225900301</v>
      </c>
      <c r="H66">
        <v>18.291152742380799</v>
      </c>
      <c r="I66">
        <v>7.1822065228813701</v>
      </c>
      <c r="J66">
        <v>329.93361691347701</v>
      </c>
      <c r="K66">
        <v>92.288391271012799</v>
      </c>
      <c r="L66">
        <v>57.215099774031103</v>
      </c>
      <c r="M66">
        <v>20.370169847426499</v>
      </c>
      <c r="N66">
        <v>8.2676029419934398</v>
      </c>
      <c r="O66">
        <v>396.355468078169</v>
      </c>
      <c r="P66">
        <v>0.230272357318238</v>
      </c>
      <c r="Q66">
        <v>0.15648593407636899</v>
      </c>
      <c r="R66">
        <v>5.5438887717760101E-2</v>
      </c>
      <c r="S66">
        <v>2.1768641189311901E-2</v>
      </c>
      <c r="T66">
        <v>0.23284248283112299</v>
      </c>
      <c r="U66">
        <v>0.14435299720085401</v>
      </c>
      <c r="V66">
        <v>5.1393689473230801E-2</v>
      </c>
      <c r="W66">
        <v>2.0859061140448099E-2</v>
      </c>
    </row>
    <row r="67" spans="1:23">
      <c r="A67">
        <v>75</v>
      </c>
      <c r="B67">
        <v>66</v>
      </c>
      <c r="C67">
        <v>66</v>
      </c>
      <c r="D67" t="s">
        <v>218</v>
      </c>
      <c r="E67">
        <v>1</v>
      </c>
      <c r="F67">
        <v>42.269954626998299</v>
      </c>
      <c r="G67">
        <v>12.202326093364199</v>
      </c>
      <c r="H67">
        <v>4.5665949717527701</v>
      </c>
      <c r="I67">
        <v>2.14742841727023</v>
      </c>
      <c r="J67">
        <v>206.43286509814899</v>
      </c>
      <c r="K67">
        <v>48.076639294907203</v>
      </c>
      <c r="L67">
        <v>28.478315010301099</v>
      </c>
      <c r="M67">
        <v>8.9369922272929099</v>
      </c>
      <c r="N67">
        <v>4.5213124854912703</v>
      </c>
      <c r="O67">
        <v>206.410647429742</v>
      </c>
      <c r="P67">
        <v>0.20476368724961</v>
      </c>
      <c r="Q67">
        <v>5.9110384809911702E-2</v>
      </c>
      <c r="R67">
        <v>2.2121453236535599E-2</v>
      </c>
      <c r="S67">
        <v>1.0402551048493301E-2</v>
      </c>
      <c r="T67">
        <v>0.23291743857967101</v>
      </c>
      <c r="U67">
        <v>0.13796921508128299</v>
      </c>
      <c r="V67">
        <v>4.32971474028968E-2</v>
      </c>
      <c r="W67">
        <v>2.1904453775962399E-2</v>
      </c>
    </row>
    <row r="68" spans="1:23">
      <c r="A68">
        <v>72</v>
      </c>
      <c r="B68">
        <v>67</v>
      </c>
      <c r="C68">
        <v>67</v>
      </c>
      <c r="D68" t="s">
        <v>215</v>
      </c>
      <c r="E68">
        <v>1</v>
      </c>
      <c r="F68">
        <v>53.116897045684702</v>
      </c>
      <c r="G68">
        <v>23.547147163328901</v>
      </c>
      <c r="H68">
        <v>8.0815554915842203</v>
      </c>
      <c r="I68">
        <v>3.2348507419670698</v>
      </c>
      <c r="J68">
        <v>211.567956283504</v>
      </c>
      <c r="K68">
        <v>77.280603726076507</v>
      </c>
      <c r="L68">
        <v>38.808893280411397</v>
      </c>
      <c r="M68">
        <v>13.462454916818499</v>
      </c>
      <c r="N68">
        <v>5.4604024920704699</v>
      </c>
      <c r="O68">
        <v>300.480438262706</v>
      </c>
      <c r="P68">
        <v>0.25106305311427801</v>
      </c>
      <c r="Q68">
        <v>0.111298268305695</v>
      </c>
      <c r="R68">
        <v>3.8198390878979901E-2</v>
      </c>
      <c r="S68">
        <v>1.52898898244889E-2</v>
      </c>
      <c r="T68">
        <v>0.25719013248546702</v>
      </c>
      <c r="U68">
        <v>0.129156139097752</v>
      </c>
      <c r="V68">
        <v>4.48030993120705E-2</v>
      </c>
      <c r="W68">
        <v>1.81722395096366E-2</v>
      </c>
    </row>
    <row r="69" spans="1:23">
      <c r="A69">
        <v>24</v>
      </c>
      <c r="B69">
        <v>68</v>
      </c>
      <c r="C69">
        <v>68</v>
      </c>
      <c r="D69" t="s">
        <v>758</v>
      </c>
      <c r="E69">
        <v>1</v>
      </c>
      <c r="F69">
        <v>46.618932820378802</v>
      </c>
      <c r="G69">
        <v>10.9202026992226</v>
      </c>
      <c r="H69">
        <v>4.3624043518050799</v>
      </c>
      <c r="I69">
        <v>2.6226956573771001</v>
      </c>
      <c r="J69">
        <v>234.12585385726601</v>
      </c>
      <c r="K69">
        <v>34.457287160928097</v>
      </c>
      <c r="L69">
        <v>7.3055345316886999</v>
      </c>
      <c r="M69">
        <v>3.2966035359919599</v>
      </c>
      <c r="N69">
        <v>1.9432138677681801</v>
      </c>
      <c r="O69">
        <v>122.672274982004</v>
      </c>
      <c r="P69">
        <v>0.19911911500726301</v>
      </c>
      <c r="Q69">
        <v>4.6642446869110198E-2</v>
      </c>
      <c r="R69">
        <v>1.86327322674265E-2</v>
      </c>
      <c r="S69">
        <v>1.1202076208875301E-2</v>
      </c>
      <c r="T69">
        <v>0.28088895527520702</v>
      </c>
      <c r="U69">
        <v>5.9553265257046899E-2</v>
      </c>
      <c r="V69">
        <v>2.6873256703485501E-2</v>
      </c>
      <c r="W69">
        <v>1.5840693164394699E-2</v>
      </c>
    </row>
    <row r="70" spans="1:23">
      <c r="B70">
        <v>79</v>
      </c>
      <c r="C70">
        <v>80</v>
      </c>
      <c r="D70" t="s">
        <v>513</v>
      </c>
      <c r="E70">
        <v>2</v>
      </c>
      <c r="F70">
        <v>29.351523559817601</v>
      </c>
      <c r="G70">
        <v>7.52852456219963</v>
      </c>
      <c r="H70">
        <v>3.17297525609828</v>
      </c>
      <c r="I70">
        <v>1.2834431692703601</v>
      </c>
      <c r="J70">
        <v>179.22447004630601</v>
      </c>
      <c r="K70">
        <v>37.549388591026499</v>
      </c>
      <c r="L70">
        <v>10.156192326335001</v>
      </c>
      <c r="M70">
        <v>4.1713314292352601</v>
      </c>
      <c r="N70">
        <v>2.3274986627402199</v>
      </c>
      <c r="O70">
        <v>216.93743659275199</v>
      </c>
      <c r="P70">
        <v>0.163769621147347</v>
      </c>
      <c r="Q70">
        <v>4.2006119813072902E-2</v>
      </c>
      <c r="R70">
        <v>1.7703917636238398E-2</v>
      </c>
      <c r="S70">
        <v>7.1610933983442902E-3</v>
      </c>
      <c r="T70">
        <v>0.173088560373821</v>
      </c>
      <c r="U70">
        <v>4.6816227230529903E-2</v>
      </c>
      <c r="V70">
        <v>1.9228269194799801E-2</v>
      </c>
      <c r="W70">
        <v>1.07288935432087E-2</v>
      </c>
    </row>
    <row r="71" spans="1:23">
      <c r="A71">
        <v>6</v>
      </c>
      <c r="B71">
        <v>24</v>
      </c>
      <c r="C71">
        <v>24</v>
      </c>
      <c r="D71" t="s">
        <v>761</v>
      </c>
      <c r="E71">
        <v>3</v>
      </c>
      <c r="F71">
        <v>31.448663410404201</v>
      </c>
      <c r="G71">
        <v>10.442161795235601</v>
      </c>
      <c r="H71">
        <v>4.7773623641170397</v>
      </c>
      <c r="I71">
        <v>2.0952863198332801</v>
      </c>
      <c r="J71">
        <v>155.12831249096101</v>
      </c>
      <c r="K71">
        <v>63.992524051817</v>
      </c>
      <c r="L71">
        <v>12.0928855736919</v>
      </c>
      <c r="M71">
        <v>5.4151494175927999</v>
      </c>
      <c r="N71">
        <v>3.5632250747816001</v>
      </c>
      <c r="O71">
        <v>286.11505032385202</v>
      </c>
      <c r="P71">
        <v>0.20272678085269999</v>
      </c>
      <c r="Q71">
        <v>6.7313062506523899E-2</v>
      </c>
      <c r="R71">
        <v>3.0796198884683899E-2</v>
      </c>
      <c r="S71">
        <v>1.3506795027860299E-2</v>
      </c>
      <c r="T71">
        <v>0.22366011148097301</v>
      </c>
      <c r="U71">
        <v>4.2265814258998197E-2</v>
      </c>
      <c r="V71">
        <v>1.8926475246455701E-2</v>
      </c>
      <c r="W71">
        <v>1.24538190869316E-2</v>
      </c>
    </row>
    <row r="72" spans="1:23">
      <c r="A72">
        <v>46</v>
      </c>
      <c r="B72">
        <v>25</v>
      </c>
      <c r="C72">
        <v>25</v>
      </c>
      <c r="D72" t="s">
        <v>763</v>
      </c>
      <c r="E72">
        <v>3</v>
      </c>
      <c r="F72">
        <v>46.1437016881208</v>
      </c>
      <c r="G72">
        <v>15.586427178010901</v>
      </c>
      <c r="H72">
        <v>5.6047964349253201</v>
      </c>
      <c r="I72">
        <v>2.5545805662032901</v>
      </c>
      <c r="J72">
        <v>226.857150227587</v>
      </c>
      <c r="K72">
        <v>60.678582200176997</v>
      </c>
      <c r="L72">
        <v>20.055289727580401</v>
      </c>
      <c r="M72">
        <v>7.4265025114788399</v>
      </c>
      <c r="N72">
        <v>3.95066858292709</v>
      </c>
      <c r="O72">
        <v>345.87568055673898</v>
      </c>
      <c r="P72">
        <v>0.20340421997644101</v>
      </c>
      <c r="Q72">
        <v>6.8705911020985E-2</v>
      </c>
      <c r="R72">
        <v>2.4706280711463E-2</v>
      </c>
      <c r="S72">
        <v>1.12607452030517E-2</v>
      </c>
      <c r="T72">
        <v>0.17543465936230501</v>
      </c>
      <c r="U72">
        <v>5.7984099070794402E-2</v>
      </c>
      <c r="V72">
        <v>2.1471594937015399E-2</v>
      </c>
      <c r="W72">
        <v>1.14222213500756E-2</v>
      </c>
    </row>
    <row r="73" spans="1:23">
      <c r="B73">
        <v>80</v>
      </c>
      <c r="C73">
        <v>81</v>
      </c>
      <c r="D73" t="s">
        <v>769</v>
      </c>
      <c r="E73">
        <v>1</v>
      </c>
      <c r="F73">
        <v>42.281464110673603</v>
      </c>
      <c r="G73">
        <v>10.119976084241101</v>
      </c>
      <c r="H73">
        <v>3.0597626426151701</v>
      </c>
      <c r="I73">
        <v>1.04711940433539</v>
      </c>
      <c r="J73">
        <v>139.98478559046799</v>
      </c>
      <c r="K73">
        <v>22.4097265867163</v>
      </c>
      <c r="L73">
        <v>5.3401462296669804</v>
      </c>
      <c r="M73">
        <v>2.0623356175102199</v>
      </c>
      <c r="N73">
        <v>1.0454781825870501</v>
      </c>
      <c r="O73">
        <v>168.32824958466</v>
      </c>
      <c r="P73">
        <v>0.30204328229190602</v>
      </c>
      <c r="Q73">
        <v>7.2293399897382996E-2</v>
      </c>
      <c r="R73">
        <v>2.1857822832023002E-2</v>
      </c>
      <c r="S73">
        <v>7.4802372266282698E-3</v>
      </c>
      <c r="T73">
        <v>0.13313110925831501</v>
      </c>
      <c r="U73">
        <v>3.17245990666657E-2</v>
      </c>
      <c r="V73">
        <v>1.2251868730286801E-2</v>
      </c>
      <c r="W73">
        <v>6.2109490544023501E-3</v>
      </c>
    </row>
    <row r="74" spans="1:23">
      <c r="A74">
        <v>14</v>
      </c>
      <c r="B74">
        <v>69</v>
      </c>
      <c r="C74">
        <v>69</v>
      </c>
      <c r="D74" t="s">
        <v>767</v>
      </c>
      <c r="E74">
        <v>2</v>
      </c>
      <c r="F74">
        <v>14.406401380395</v>
      </c>
      <c r="G74">
        <v>3.3355282510795199</v>
      </c>
      <c r="H74">
        <v>1.53254610576207</v>
      </c>
      <c r="I74">
        <v>0.80102308614333595</v>
      </c>
      <c r="J74">
        <v>79.294842949870898</v>
      </c>
      <c r="K74">
        <v>21.4250467801212</v>
      </c>
      <c r="L74">
        <v>5.1953366795055702</v>
      </c>
      <c r="M74">
        <v>2.43635099613005</v>
      </c>
      <c r="N74">
        <v>1.5886709595791999</v>
      </c>
      <c r="O74">
        <v>99.939770824944006</v>
      </c>
      <c r="P74">
        <v>0.181681441622913</v>
      </c>
      <c r="Q74">
        <v>4.20648824941642E-2</v>
      </c>
      <c r="R74">
        <v>1.9327185082274798E-2</v>
      </c>
      <c r="S74">
        <v>1.01018307918175E-2</v>
      </c>
      <c r="T74">
        <v>0.21437958685786501</v>
      </c>
      <c r="U74">
        <v>5.1984676737009898E-2</v>
      </c>
      <c r="V74">
        <v>2.4378192745684799E-2</v>
      </c>
      <c r="W74">
        <v>1.58962837963872E-2</v>
      </c>
    </row>
    <row r="75" spans="1:23">
      <c r="A75">
        <v>53</v>
      </c>
      <c r="B75">
        <v>26</v>
      </c>
      <c r="C75">
        <v>26</v>
      </c>
      <c r="D75" t="s">
        <v>765</v>
      </c>
      <c r="E75">
        <v>3</v>
      </c>
      <c r="F75">
        <v>61.978954345187297</v>
      </c>
      <c r="G75">
        <v>9.9871545607083601</v>
      </c>
      <c r="H75">
        <v>4.7086058033036498</v>
      </c>
      <c r="I75">
        <v>2.9153721152643799</v>
      </c>
      <c r="J75">
        <v>321.24359935090399</v>
      </c>
      <c r="K75">
        <v>76.7558482539675</v>
      </c>
      <c r="L75">
        <v>13.4008609570812</v>
      </c>
      <c r="M75">
        <v>4.68738099964437</v>
      </c>
      <c r="N75">
        <v>3.0003076905183499</v>
      </c>
      <c r="O75">
        <v>370.26537870397902</v>
      </c>
      <c r="P75">
        <v>0.19293444124776499</v>
      </c>
      <c r="Q75">
        <v>3.1089038290220101E-2</v>
      </c>
      <c r="R75">
        <v>1.46574307249008E-2</v>
      </c>
      <c r="S75">
        <v>9.0752691140153496E-3</v>
      </c>
      <c r="T75">
        <v>0.207299555045174</v>
      </c>
      <c r="U75">
        <v>3.6192584367427297E-2</v>
      </c>
      <c r="V75">
        <v>1.2659517387370599E-2</v>
      </c>
      <c r="W75">
        <v>8.1031278188097803E-3</v>
      </c>
    </row>
    <row r="76" spans="1:23">
      <c r="A76">
        <v>45</v>
      </c>
      <c r="B76">
        <v>70</v>
      </c>
      <c r="C76">
        <v>70</v>
      </c>
      <c r="D76" t="s">
        <v>771</v>
      </c>
      <c r="E76">
        <v>1</v>
      </c>
      <c r="F76">
        <v>35.389110827486697</v>
      </c>
      <c r="G76">
        <v>10.7593091155462</v>
      </c>
      <c r="H76">
        <v>3.4451936254057398</v>
      </c>
      <c r="I76">
        <v>1.2974131690784301</v>
      </c>
      <c r="J76">
        <v>152.82215212257</v>
      </c>
      <c r="K76">
        <v>41.165378385527703</v>
      </c>
      <c r="L76">
        <v>8.2461398976128102</v>
      </c>
      <c r="M76">
        <v>2.90002752083605</v>
      </c>
      <c r="N76">
        <v>1.5320418023436</v>
      </c>
      <c r="O76">
        <v>161.81657641015499</v>
      </c>
      <c r="P76">
        <v>0.23157055659773201</v>
      </c>
      <c r="Q76">
        <v>7.0404119861607703E-2</v>
      </c>
      <c r="R76">
        <v>2.25438104198569E-2</v>
      </c>
      <c r="S76">
        <v>8.4896930913382906E-3</v>
      </c>
      <c r="T76">
        <v>0.254395311647098</v>
      </c>
      <c r="U76">
        <v>5.0959797077349003E-2</v>
      </c>
      <c r="V76">
        <v>1.7921696189427402E-2</v>
      </c>
      <c r="W76">
        <v>9.4677679897290107E-3</v>
      </c>
    </row>
    <row r="77" spans="1:23">
      <c r="A77">
        <v>55</v>
      </c>
      <c r="B77">
        <v>71</v>
      </c>
      <c r="C77">
        <v>71</v>
      </c>
      <c r="D77" t="s">
        <v>4</v>
      </c>
      <c r="E77">
        <v>1</v>
      </c>
      <c r="F77">
        <v>46.783720325039297</v>
      </c>
      <c r="G77">
        <v>12.071111642382</v>
      </c>
      <c r="H77">
        <v>5.2453939723427698</v>
      </c>
      <c r="I77">
        <v>2.5950069052417302</v>
      </c>
      <c r="J77">
        <v>245.677494091265</v>
      </c>
      <c r="K77">
        <v>45.930096137351804</v>
      </c>
      <c r="L77">
        <v>10.9471088235377</v>
      </c>
      <c r="M77">
        <v>5.3842202756683104</v>
      </c>
      <c r="N77">
        <v>3.50278915240647</v>
      </c>
      <c r="O77">
        <v>184.881666642271</v>
      </c>
      <c r="P77">
        <v>0.19042737511666399</v>
      </c>
      <c r="Q77">
        <v>4.9133974143752299E-2</v>
      </c>
      <c r="R77">
        <v>2.1350730524767599E-2</v>
      </c>
      <c r="S77">
        <v>1.0562656196247799E-2</v>
      </c>
      <c r="T77">
        <v>0.248429695445261</v>
      </c>
      <c r="U77">
        <v>5.9211435197191999E-2</v>
      </c>
      <c r="V77">
        <v>2.9122521304864001E-2</v>
      </c>
      <c r="W77">
        <v>1.89461141065114E-2</v>
      </c>
    </row>
    <row r="78" spans="1:23">
      <c r="A78">
        <v>31</v>
      </c>
      <c r="B78">
        <v>27</v>
      </c>
      <c r="C78">
        <v>27</v>
      </c>
      <c r="D78" t="s">
        <v>774</v>
      </c>
      <c r="E78">
        <v>3</v>
      </c>
      <c r="F78">
        <v>48.341591493557203</v>
      </c>
      <c r="G78">
        <v>18.290628909037402</v>
      </c>
      <c r="H78">
        <v>6.4583373190187601</v>
      </c>
      <c r="I78">
        <v>2.85583680638298</v>
      </c>
      <c r="J78">
        <v>216.68876019303099</v>
      </c>
      <c r="K78">
        <v>87.502578467499006</v>
      </c>
      <c r="L78">
        <v>25.103272712937802</v>
      </c>
      <c r="M78">
        <v>7.63763454054018</v>
      </c>
      <c r="N78">
        <v>4.2000499661427</v>
      </c>
      <c r="O78">
        <v>459.19703131039898</v>
      </c>
      <c r="P78">
        <v>0.22309228891472399</v>
      </c>
      <c r="Q78">
        <v>8.4409680007138499E-2</v>
      </c>
      <c r="R78">
        <v>2.9804671517182201E-2</v>
      </c>
      <c r="S78">
        <v>1.31794413509909E-2</v>
      </c>
      <c r="T78">
        <v>0.190555627543574</v>
      </c>
      <c r="U78">
        <v>5.46677591562411E-2</v>
      </c>
      <c r="V78">
        <v>1.6632586928414701E-2</v>
      </c>
      <c r="W78">
        <v>9.1465094061194702E-3</v>
      </c>
    </row>
    <row r="79" spans="1:23">
      <c r="A79">
        <v>42</v>
      </c>
      <c r="B79">
        <v>28</v>
      </c>
      <c r="C79">
        <v>28</v>
      </c>
      <c r="D79" t="s">
        <v>776</v>
      </c>
      <c r="E79">
        <v>3</v>
      </c>
      <c r="F79">
        <v>42.752556655976399</v>
      </c>
      <c r="G79">
        <v>8.7104472824937904</v>
      </c>
      <c r="H79">
        <v>3.13577923848261</v>
      </c>
      <c r="I79">
        <v>1.9385727991228601</v>
      </c>
      <c r="J79">
        <v>223.98459003611899</v>
      </c>
      <c r="K79">
        <v>66.796225117834894</v>
      </c>
      <c r="L79">
        <v>10.318677826672801</v>
      </c>
      <c r="M79">
        <v>3.6241962945428199</v>
      </c>
      <c r="N79">
        <v>2.6439280053061198</v>
      </c>
      <c r="O79">
        <v>276.22361576457098</v>
      </c>
      <c r="P79">
        <v>0.19087275892097</v>
      </c>
      <c r="Q79">
        <v>3.8888600689400803E-2</v>
      </c>
      <c r="R79">
        <v>1.3999977578711799E-2</v>
      </c>
      <c r="S79">
        <v>8.6549382652183603E-3</v>
      </c>
      <c r="T79">
        <v>0.241819385836895</v>
      </c>
      <c r="U79">
        <v>3.7356247756410298E-2</v>
      </c>
      <c r="V79">
        <v>1.31205157260405E-2</v>
      </c>
      <c r="W79">
        <v>9.5716942882956794E-3</v>
      </c>
    </row>
    <row r="80" spans="1:23">
      <c r="A80">
        <v>43</v>
      </c>
      <c r="B80">
        <v>29</v>
      </c>
      <c r="C80">
        <v>29</v>
      </c>
      <c r="D80" t="s">
        <v>778</v>
      </c>
      <c r="E80">
        <v>3</v>
      </c>
      <c r="F80">
        <v>46.265124735315801</v>
      </c>
      <c r="G80">
        <v>9.5642343356711503</v>
      </c>
      <c r="H80">
        <v>4.3097228971003902</v>
      </c>
      <c r="I80">
        <v>2.4922160301754999</v>
      </c>
      <c r="J80">
        <v>203.90891111817299</v>
      </c>
      <c r="K80">
        <v>53.427202926807603</v>
      </c>
      <c r="L80">
        <v>10.565821588289101</v>
      </c>
      <c r="M80">
        <v>3.9374605919826098</v>
      </c>
      <c r="N80">
        <v>2.8100098018297701</v>
      </c>
      <c r="O80">
        <v>243.85330287524701</v>
      </c>
      <c r="P80">
        <v>0.22689113723187601</v>
      </c>
      <c r="Q80">
        <v>4.6904445142803501E-2</v>
      </c>
      <c r="R80">
        <v>2.1135529945539001E-2</v>
      </c>
      <c r="S80">
        <v>1.22222026320917E-2</v>
      </c>
      <c r="T80">
        <v>0.219095670621859</v>
      </c>
      <c r="U80">
        <v>4.33285974137263E-2</v>
      </c>
      <c r="V80">
        <v>1.6146841340906399E-2</v>
      </c>
      <c r="W80">
        <v>1.1523361663333001E-2</v>
      </c>
    </row>
    <row r="81" spans="1:23">
      <c r="B81">
        <v>81</v>
      </c>
      <c r="C81">
        <v>82</v>
      </c>
      <c r="D81" t="s">
        <v>780</v>
      </c>
      <c r="E81">
        <v>2</v>
      </c>
      <c r="F81">
        <v>28.107307510702999</v>
      </c>
      <c r="G81">
        <v>7.4093115753995198</v>
      </c>
      <c r="H81">
        <v>3.5286892318834999</v>
      </c>
      <c r="I81">
        <v>1.95122796671423</v>
      </c>
      <c r="J81">
        <v>113.290922207576</v>
      </c>
      <c r="K81">
        <v>56.526128449296799</v>
      </c>
      <c r="L81">
        <v>12.1880640921914</v>
      </c>
      <c r="M81">
        <v>5.20284027878908</v>
      </c>
      <c r="N81">
        <v>3.2362122825498698</v>
      </c>
      <c r="O81">
        <v>296.16934047460001</v>
      </c>
      <c r="P81">
        <v>0.24809849688754201</v>
      </c>
      <c r="Q81">
        <v>6.5400752602436205E-2</v>
      </c>
      <c r="R81">
        <v>3.11471489782571E-2</v>
      </c>
      <c r="S81">
        <v>1.72231625331738E-2</v>
      </c>
      <c r="T81">
        <v>0.19085746133855699</v>
      </c>
      <c r="U81">
        <v>4.1152349100891002E-2</v>
      </c>
      <c r="V81">
        <v>1.7567113025446002E-2</v>
      </c>
      <c r="W81">
        <v>1.09268983661981E-2</v>
      </c>
    </row>
    <row r="82" spans="1:23">
      <c r="A82">
        <v>54</v>
      </c>
      <c r="B82">
        <v>30</v>
      </c>
      <c r="C82">
        <v>30</v>
      </c>
      <c r="D82" t="s">
        <v>782</v>
      </c>
      <c r="E82">
        <v>3</v>
      </c>
      <c r="F82">
        <v>67.305666069854496</v>
      </c>
      <c r="G82">
        <v>12.597076190426099</v>
      </c>
      <c r="H82">
        <v>4.5222526549951603</v>
      </c>
      <c r="I82">
        <v>2.2231823227551302</v>
      </c>
      <c r="J82">
        <v>310.53005815322803</v>
      </c>
      <c r="K82">
        <v>76.668096061133795</v>
      </c>
      <c r="L82">
        <v>20.047352435778301</v>
      </c>
      <c r="M82">
        <v>6.8073492648840404</v>
      </c>
      <c r="N82">
        <v>4.1505446912373998</v>
      </c>
      <c r="O82">
        <v>320.30524201464902</v>
      </c>
      <c r="P82">
        <v>0.21674444809025001</v>
      </c>
      <c r="Q82">
        <v>4.05663666356261E-2</v>
      </c>
      <c r="R82">
        <v>1.45630110073393E-2</v>
      </c>
      <c r="S82">
        <v>7.1593144186323102E-3</v>
      </c>
      <c r="T82">
        <v>0.239359479660428</v>
      </c>
      <c r="U82">
        <v>6.2588274577352901E-2</v>
      </c>
      <c r="V82">
        <v>2.1252693905561199E-2</v>
      </c>
      <c r="W82">
        <v>1.29580916788355E-2</v>
      </c>
    </row>
    <row r="83" spans="1:23">
      <c r="B83">
        <v>82</v>
      </c>
      <c r="C83">
        <v>83</v>
      </c>
      <c r="D83" t="s">
        <v>784</v>
      </c>
      <c r="E83">
        <v>1</v>
      </c>
      <c r="F83">
        <v>90.103337378964497</v>
      </c>
      <c r="G83">
        <v>14.260581567453199</v>
      </c>
      <c r="H83">
        <v>5.3879047647136602</v>
      </c>
      <c r="I83">
        <v>3.0380819428378398</v>
      </c>
      <c r="J83">
        <v>513.84467472726396</v>
      </c>
      <c r="K83">
        <v>117.04766622936999</v>
      </c>
      <c r="L83">
        <v>16.252631911205999</v>
      </c>
      <c r="M83">
        <v>4.1714892344245103</v>
      </c>
      <c r="N83">
        <v>2.5580338928561202</v>
      </c>
      <c r="O83">
        <v>475.71479416254499</v>
      </c>
      <c r="P83">
        <v>0.175351311029523</v>
      </c>
      <c r="Q83">
        <v>2.7752708685795699E-2</v>
      </c>
      <c r="R83">
        <v>1.0485473587078501E-2</v>
      </c>
      <c r="S83">
        <v>5.9124519378358602E-3</v>
      </c>
      <c r="T83">
        <v>0.24604588225056701</v>
      </c>
      <c r="U83">
        <v>3.4164655189707398E-2</v>
      </c>
      <c r="V83">
        <v>8.7688869163046607E-3</v>
      </c>
      <c r="W83">
        <v>5.3772426761697001E-3</v>
      </c>
    </row>
    <row r="84" spans="1:23">
      <c r="B84">
        <v>83</v>
      </c>
      <c r="C84">
        <v>84</v>
      </c>
      <c r="D84" t="s">
        <v>786</v>
      </c>
      <c r="E84">
        <v>2</v>
      </c>
      <c r="F84">
        <v>23.487510058616099</v>
      </c>
      <c r="G84">
        <v>6.4091279715236702</v>
      </c>
      <c r="H84">
        <v>3.3501791772227199</v>
      </c>
      <c r="I84">
        <v>3.6790642942035898</v>
      </c>
      <c r="J84">
        <v>116.237742178731</v>
      </c>
      <c r="K84">
        <v>20.885283566645999</v>
      </c>
      <c r="L84">
        <v>6.2859621814571698</v>
      </c>
      <c r="M84">
        <v>2.8417291785583298</v>
      </c>
      <c r="N84">
        <v>2.1186733665150199</v>
      </c>
      <c r="O84">
        <v>114.01723276352701</v>
      </c>
      <c r="P84">
        <v>0.20206440368138701</v>
      </c>
      <c r="Q84">
        <v>5.5138097586829998E-2</v>
      </c>
      <c r="R84">
        <v>2.8821784683940001E-2</v>
      </c>
      <c r="S84">
        <v>3.1651202313845099E-2</v>
      </c>
      <c r="T84">
        <v>0.183176552003875</v>
      </c>
      <c r="U84">
        <v>5.5131685176874598E-2</v>
      </c>
      <c r="V84">
        <v>2.4923681356590399E-2</v>
      </c>
      <c r="W84">
        <v>1.8582045144957898E-2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A9FD-1EF4-464C-8CE2-CA30D3BE49A2}">
  <dimension ref="A1:W84"/>
  <sheetViews>
    <sheetView workbookViewId="0">
      <selection activeCell="Q27" sqref="Q27"/>
    </sheetView>
  </sheetViews>
  <sheetFormatPr defaultRowHeight="14"/>
  <sheetData>
    <row r="1" spans="1:23">
      <c r="A1" t="s">
        <v>814</v>
      </c>
      <c r="B1" t="s">
        <v>815</v>
      </c>
      <c r="C1" t="s">
        <v>816</v>
      </c>
      <c r="D1" t="s">
        <v>817</v>
      </c>
      <c r="E1" t="s">
        <v>818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633</v>
      </c>
      <c r="S1" t="s">
        <v>634</v>
      </c>
      <c r="T1" t="s">
        <v>635</v>
      </c>
      <c r="U1" t="s">
        <v>636</v>
      </c>
      <c r="V1" t="s">
        <v>637</v>
      </c>
      <c r="W1" t="s">
        <v>638</v>
      </c>
    </row>
    <row r="2" spans="1:23">
      <c r="A2">
        <v>67</v>
      </c>
      <c r="B2">
        <v>1</v>
      </c>
      <c r="C2">
        <v>1</v>
      </c>
      <c r="D2" t="s">
        <v>641</v>
      </c>
      <c r="E2">
        <v>3</v>
      </c>
      <c r="F2">
        <v>25.668907239622602</v>
      </c>
      <c r="G2">
        <v>9.1812726473534294</v>
      </c>
      <c r="H2">
        <v>4.5483112856403203</v>
      </c>
      <c r="I2">
        <v>2.1547689755005202</v>
      </c>
      <c r="J2">
        <v>99.469569859860698</v>
      </c>
      <c r="K2">
        <v>82.132126091722995</v>
      </c>
      <c r="L2">
        <v>16.192506910182999</v>
      </c>
      <c r="M2">
        <v>7.1125496002517599</v>
      </c>
      <c r="N2">
        <v>4.8143932234684099</v>
      </c>
      <c r="O2">
        <v>330.51437362000098</v>
      </c>
      <c r="P2">
        <v>0.258057889219654</v>
      </c>
      <c r="Q2">
        <v>9.2302325829785106E-2</v>
      </c>
      <c r="R2">
        <v>4.5725655515031202E-2</v>
      </c>
      <c r="S2">
        <v>2.1662594686357901E-2</v>
      </c>
      <c r="T2">
        <v>0.24849789493921301</v>
      </c>
      <c r="U2">
        <v>4.8991838790042597E-2</v>
      </c>
      <c r="V2">
        <v>2.15196377765682E-2</v>
      </c>
      <c r="W2">
        <v>1.4566365664337499E-2</v>
      </c>
    </row>
    <row r="3" spans="1:23">
      <c r="A3">
        <v>80</v>
      </c>
      <c r="B3">
        <v>2</v>
      </c>
      <c r="C3">
        <v>2</v>
      </c>
      <c r="D3" t="s">
        <v>643</v>
      </c>
      <c r="E3">
        <v>3</v>
      </c>
      <c r="F3">
        <v>58.031361303940201</v>
      </c>
      <c r="G3">
        <v>10.9779049529725</v>
      </c>
      <c r="H3">
        <v>5.1050849255799697</v>
      </c>
      <c r="I3">
        <v>2.84934176704397</v>
      </c>
      <c r="J3">
        <v>268.69381185296203</v>
      </c>
      <c r="K3">
        <v>42.670545075862798</v>
      </c>
      <c r="L3">
        <v>8.0020820498997001</v>
      </c>
      <c r="M3">
        <v>2.9785114703960902</v>
      </c>
      <c r="N3">
        <v>1.92097430718561</v>
      </c>
      <c r="O3">
        <v>185.83474557250801</v>
      </c>
      <c r="P3">
        <v>0.21597580124285401</v>
      </c>
      <c r="Q3">
        <v>4.0856560399612003E-2</v>
      </c>
      <c r="R3">
        <v>1.8999637134827801E-2</v>
      </c>
      <c r="S3">
        <v>1.06044190128324E-2</v>
      </c>
      <c r="T3">
        <v>0.22961553795769599</v>
      </c>
      <c r="U3">
        <v>4.3060203974490299E-2</v>
      </c>
      <c r="V3">
        <v>1.6027742611964699E-2</v>
      </c>
      <c r="W3">
        <v>1.0337002917659901E-2</v>
      </c>
    </row>
    <row r="4" spans="1:23">
      <c r="A4">
        <v>3</v>
      </c>
      <c r="B4">
        <v>31</v>
      </c>
      <c r="C4">
        <v>31</v>
      </c>
      <c r="D4" t="s">
        <v>819</v>
      </c>
      <c r="E4">
        <v>2</v>
      </c>
      <c r="F4">
        <v>62.378571868673703</v>
      </c>
      <c r="G4">
        <v>13.418318410602501</v>
      </c>
      <c r="H4">
        <v>6.64538939924633</v>
      </c>
      <c r="I4">
        <v>3.9175207609935998</v>
      </c>
      <c r="J4">
        <v>290.61569939826097</v>
      </c>
      <c r="K4">
        <v>147.136496289246</v>
      </c>
      <c r="L4">
        <v>18.729768830439301</v>
      </c>
      <c r="M4">
        <v>8.0434836220917205</v>
      </c>
      <c r="N4">
        <v>5.8094477804024196</v>
      </c>
      <c r="O4">
        <v>671.98342694816301</v>
      </c>
      <c r="P4">
        <v>0.21464281522929701</v>
      </c>
      <c r="Q4">
        <v>4.61720355727031E-2</v>
      </c>
      <c r="R4">
        <v>2.2866587775560901E-2</v>
      </c>
      <c r="S4">
        <v>1.34800727183875E-2</v>
      </c>
      <c r="T4">
        <v>0.21895851949425599</v>
      </c>
      <c r="U4">
        <v>2.7872367203312098E-2</v>
      </c>
      <c r="V4">
        <v>1.19697648774189E-2</v>
      </c>
      <c r="W4">
        <v>8.6452247889300497E-3</v>
      </c>
    </row>
    <row r="5" spans="1:23">
      <c r="A5">
        <v>9</v>
      </c>
      <c r="B5">
        <v>43</v>
      </c>
      <c r="C5">
        <v>43</v>
      </c>
      <c r="D5" t="s">
        <v>213</v>
      </c>
      <c r="E5">
        <v>1</v>
      </c>
      <c r="F5">
        <v>59.5753650779004</v>
      </c>
      <c r="G5">
        <v>32.559033209441303</v>
      </c>
      <c r="H5">
        <v>11.2068178317563</v>
      </c>
      <c r="I5">
        <v>5.3820961456545797</v>
      </c>
      <c r="J5">
        <v>296.94703769916401</v>
      </c>
      <c r="K5">
        <v>65.343922722748005</v>
      </c>
      <c r="L5">
        <v>28.328141059015</v>
      </c>
      <c r="M5">
        <v>9.9636510312639306</v>
      </c>
      <c r="N5">
        <v>4.5798807855766501</v>
      </c>
      <c r="O5">
        <v>330.72132755934001</v>
      </c>
      <c r="P5">
        <v>0.20062623132902199</v>
      </c>
      <c r="Q5">
        <v>0.10964592696973301</v>
      </c>
      <c r="R5">
        <v>3.7740123351928903E-2</v>
      </c>
      <c r="S5">
        <v>1.8124767929515902E-2</v>
      </c>
      <c r="T5">
        <v>0.197580008537622</v>
      </c>
      <c r="U5">
        <v>8.5655622115668503E-2</v>
      </c>
      <c r="V5">
        <v>3.0127029015013199E-2</v>
      </c>
      <c r="W5">
        <v>1.3848156752923399E-2</v>
      </c>
    </row>
    <row r="6" spans="1:23">
      <c r="A6">
        <v>81</v>
      </c>
      <c r="B6">
        <v>3</v>
      </c>
      <c r="C6">
        <v>3</v>
      </c>
      <c r="D6" t="s">
        <v>649</v>
      </c>
      <c r="E6">
        <v>3</v>
      </c>
      <c r="F6">
        <v>89.371082526572394</v>
      </c>
      <c r="G6">
        <v>36.524598147470201</v>
      </c>
      <c r="H6">
        <v>15.7506283994648</v>
      </c>
      <c r="I6">
        <v>7.4977476879534102</v>
      </c>
      <c r="J6">
        <v>391.06870470657299</v>
      </c>
      <c r="K6">
        <v>107.355180739291</v>
      </c>
      <c r="L6">
        <v>74.379027916503802</v>
      </c>
      <c r="M6">
        <v>27.567457103861699</v>
      </c>
      <c r="N6">
        <v>12.0108498978762</v>
      </c>
      <c r="O6">
        <v>463.33657091647501</v>
      </c>
      <c r="P6">
        <v>0.22853038724648</v>
      </c>
      <c r="Q6">
        <v>9.33968832276552E-2</v>
      </c>
      <c r="R6">
        <v>4.0275859995707999E-2</v>
      </c>
      <c r="S6">
        <v>1.9172456393766201E-2</v>
      </c>
      <c r="T6">
        <v>0.23170020990776299</v>
      </c>
      <c r="U6">
        <v>0.16052915436694901</v>
      </c>
      <c r="V6">
        <v>5.9497693111798797E-2</v>
      </c>
      <c r="W6">
        <v>2.59225164854111E-2</v>
      </c>
    </row>
    <row r="7" spans="1:23">
      <c r="A7">
        <v>28</v>
      </c>
      <c r="B7">
        <v>44</v>
      </c>
      <c r="C7">
        <v>44</v>
      </c>
      <c r="D7" t="s">
        <v>651</v>
      </c>
      <c r="E7">
        <v>1</v>
      </c>
      <c r="F7">
        <v>121.033679077277</v>
      </c>
      <c r="G7">
        <v>61.049738113729099</v>
      </c>
      <c r="H7">
        <v>23.622162400318601</v>
      </c>
      <c r="I7">
        <v>10.522468162340999</v>
      </c>
      <c r="J7">
        <v>498.55756789157101</v>
      </c>
      <c r="K7">
        <v>145.75671832525401</v>
      </c>
      <c r="L7">
        <v>70.628688799767502</v>
      </c>
      <c r="M7">
        <v>23.546024384485701</v>
      </c>
      <c r="N7">
        <v>12.4044524477208</v>
      </c>
      <c r="O7">
        <v>668.79128991298001</v>
      </c>
      <c r="P7">
        <v>0.24276771003424</v>
      </c>
      <c r="Q7">
        <v>0.12245273574306</v>
      </c>
      <c r="R7">
        <v>4.7381012588411903E-2</v>
      </c>
      <c r="S7">
        <v>2.1105823760415601E-2</v>
      </c>
      <c r="T7">
        <v>0.21794051526032801</v>
      </c>
      <c r="U7">
        <v>0.105606472250794</v>
      </c>
      <c r="V7">
        <v>3.5206834687618899E-2</v>
      </c>
      <c r="W7">
        <v>1.85475687778991E-2</v>
      </c>
    </row>
    <row r="8" spans="1:23">
      <c r="A8">
        <v>61</v>
      </c>
      <c r="B8">
        <v>4</v>
      </c>
      <c r="C8">
        <v>4</v>
      </c>
      <c r="D8" t="s">
        <v>204</v>
      </c>
      <c r="E8">
        <v>3</v>
      </c>
      <c r="F8">
        <v>59.3505009602016</v>
      </c>
      <c r="G8">
        <v>12.6649006368567</v>
      </c>
      <c r="H8">
        <v>6.5830950616503303</v>
      </c>
      <c r="I8">
        <v>5.1611941737857201</v>
      </c>
      <c r="J8">
        <v>301.62937278944298</v>
      </c>
      <c r="K8">
        <v>31.9096286424918</v>
      </c>
      <c r="L8">
        <v>8.1747866269323506</v>
      </c>
      <c r="M8">
        <v>3.2923270494537902</v>
      </c>
      <c r="N8">
        <v>2.09158068078407</v>
      </c>
      <c r="O8">
        <v>154.701961327688</v>
      </c>
      <c r="P8">
        <v>0.196766317588149</v>
      </c>
      <c r="Q8">
        <v>4.1988286882450397E-2</v>
      </c>
      <c r="R8">
        <v>2.1825112722844001E-2</v>
      </c>
      <c r="S8">
        <v>1.7111046334962101E-2</v>
      </c>
      <c r="T8">
        <v>0.20626518480202899</v>
      </c>
      <c r="U8">
        <v>5.28421653919217E-2</v>
      </c>
      <c r="V8">
        <v>2.1281740846711202E-2</v>
      </c>
      <c r="W8">
        <v>1.35200656981569E-2</v>
      </c>
    </row>
    <row r="9" spans="1:23">
      <c r="A9">
        <v>60</v>
      </c>
      <c r="B9">
        <v>5</v>
      </c>
      <c r="C9">
        <v>5</v>
      </c>
      <c r="D9" t="s">
        <v>203</v>
      </c>
      <c r="E9">
        <v>3</v>
      </c>
      <c r="F9">
        <v>41.099961321336004</v>
      </c>
      <c r="G9">
        <v>10.387055943216501</v>
      </c>
      <c r="H9">
        <v>4.5624239104319297</v>
      </c>
      <c r="I9">
        <v>2.5873841879069701</v>
      </c>
      <c r="J9">
        <v>215.814259224084</v>
      </c>
      <c r="K9">
        <v>70.803370749457301</v>
      </c>
      <c r="L9">
        <v>10.081708366853301</v>
      </c>
      <c r="M9">
        <v>3.3648272222836701</v>
      </c>
      <c r="N9">
        <v>1.8150883717742401</v>
      </c>
      <c r="O9">
        <v>351.65098180922701</v>
      </c>
      <c r="P9">
        <v>0.19044136133127801</v>
      </c>
      <c r="Q9">
        <v>4.8129609139641899E-2</v>
      </c>
      <c r="R9">
        <v>2.11405118773671E-2</v>
      </c>
      <c r="S9">
        <v>1.19889399208809E-2</v>
      </c>
      <c r="T9">
        <v>0.20134557960048199</v>
      </c>
      <c r="U9">
        <v>2.8669643733065801E-2</v>
      </c>
      <c r="V9">
        <v>9.5686558444165303E-3</v>
      </c>
      <c r="W9">
        <v>5.1616189508008597E-3</v>
      </c>
    </row>
    <row r="10" spans="1:23">
      <c r="A10">
        <v>78</v>
      </c>
      <c r="B10">
        <v>32</v>
      </c>
      <c r="C10">
        <v>32</v>
      </c>
      <c r="D10" t="s">
        <v>655</v>
      </c>
      <c r="E10">
        <v>2</v>
      </c>
      <c r="F10">
        <v>51.967719127767403</v>
      </c>
      <c r="G10">
        <v>8.5491032200230599</v>
      </c>
      <c r="H10">
        <v>2.53570661920577</v>
      </c>
      <c r="I10">
        <v>1.8320750233685099</v>
      </c>
      <c r="J10">
        <v>441.28953821343498</v>
      </c>
      <c r="K10">
        <v>51.560309802541603</v>
      </c>
      <c r="L10">
        <v>12.764222979682</v>
      </c>
      <c r="M10">
        <v>4.5111314054592899</v>
      </c>
      <c r="N10">
        <v>2.50405414818229</v>
      </c>
      <c r="O10">
        <v>334.694609503241</v>
      </c>
      <c r="P10">
        <v>0.11776331552784899</v>
      </c>
      <c r="Q10">
        <v>1.9373002257506901E-2</v>
      </c>
      <c r="R10">
        <v>5.7461290142331502E-3</v>
      </c>
      <c r="S10">
        <v>4.1516393766906096E-3</v>
      </c>
      <c r="T10">
        <v>0.154051808241155</v>
      </c>
      <c r="U10">
        <v>3.8136924280396702E-2</v>
      </c>
      <c r="V10">
        <v>1.34783509425347E-2</v>
      </c>
      <c r="W10">
        <v>7.48160883707941E-3</v>
      </c>
    </row>
    <row r="11" spans="1:23">
      <c r="A11">
        <v>32</v>
      </c>
      <c r="B11">
        <v>6</v>
      </c>
      <c r="C11">
        <v>6</v>
      </c>
      <c r="D11" t="s">
        <v>657</v>
      </c>
      <c r="E11">
        <v>3</v>
      </c>
      <c r="F11">
        <v>48.514103909972398</v>
      </c>
      <c r="G11">
        <v>7.6417023223162799</v>
      </c>
      <c r="H11">
        <v>4.4454861207431904</v>
      </c>
      <c r="I11">
        <v>3.0997796559090198</v>
      </c>
      <c r="J11">
        <v>298.29558297643501</v>
      </c>
      <c r="K11">
        <v>68.484883980360493</v>
      </c>
      <c r="L11">
        <v>11.9410739596974</v>
      </c>
      <c r="M11">
        <v>5.0834493365301503</v>
      </c>
      <c r="N11">
        <v>2.9430698303918299</v>
      </c>
      <c r="O11">
        <v>329.344447853156</v>
      </c>
      <c r="P11">
        <v>0.162637687846035</v>
      </c>
      <c r="Q11">
        <v>2.56178862793284E-2</v>
      </c>
      <c r="R11">
        <v>1.4902956578791799E-2</v>
      </c>
      <c r="S11">
        <v>1.0391637800932199E-2</v>
      </c>
      <c r="T11">
        <v>0.20794303479770701</v>
      </c>
      <c r="U11">
        <v>3.6257098115774197E-2</v>
      </c>
      <c r="V11">
        <v>1.54350539979247E-2</v>
      </c>
      <c r="W11">
        <v>8.9361452715427201E-3</v>
      </c>
    </row>
    <row r="12" spans="1:23">
      <c r="A12">
        <v>34</v>
      </c>
      <c r="B12">
        <v>7</v>
      </c>
      <c r="C12">
        <v>7</v>
      </c>
      <c r="D12" t="s">
        <v>659</v>
      </c>
      <c r="E12">
        <v>3</v>
      </c>
      <c r="F12">
        <v>57.030336760105797</v>
      </c>
      <c r="G12">
        <v>10.85264608676</v>
      </c>
      <c r="H12">
        <v>4.0851141948095098</v>
      </c>
      <c r="I12">
        <v>3.5130635842548399</v>
      </c>
      <c r="J12">
        <v>267.55384408597001</v>
      </c>
      <c r="K12">
        <v>29.391375594720898</v>
      </c>
      <c r="L12">
        <v>9.1517439553638003</v>
      </c>
      <c r="M12">
        <v>3.9770843381016601</v>
      </c>
      <c r="N12">
        <v>2.4021005205111399</v>
      </c>
      <c r="O12">
        <v>148.65589989195399</v>
      </c>
      <c r="P12">
        <v>0.213154615494072</v>
      </c>
      <c r="Q12">
        <v>4.0562474906071101E-2</v>
      </c>
      <c r="R12">
        <v>1.52683816177834E-2</v>
      </c>
      <c r="S12">
        <v>1.3130305027970499E-2</v>
      </c>
      <c r="T12">
        <v>0.19771415474315601</v>
      </c>
      <c r="U12">
        <v>6.1563274394191403E-2</v>
      </c>
      <c r="V12">
        <v>2.6753625930704999E-2</v>
      </c>
      <c r="W12">
        <v>1.6158797076046401E-2</v>
      </c>
    </row>
    <row r="13" spans="1:23">
      <c r="A13">
        <v>27</v>
      </c>
      <c r="B13">
        <v>8</v>
      </c>
      <c r="C13">
        <v>8</v>
      </c>
      <c r="D13" s="86" t="s">
        <v>665</v>
      </c>
      <c r="E13">
        <v>3</v>
      </c>
      <c r="F13">
        <v>41.128247451500499</v>
      </c>
      <c r="G13">
        <v>14.4162433424728</v>
      </c>
      <c r="H13">
        <v>3.9634587692998</v>
      </c>
      <c r="I13">
        <v>1.53132420043815</v>
      </c>
      <c r="J13">
        <v>185.232858832148</v>
      </c>
      <c r="K13">
        <v>96.550261049486195</v>
      </c>
      <c r="L13">
        <v>21.482327050686902</v>
      </c>
      <c r="M13">
        <v>5.5119978087789399</v>
      </c>
      <c r="N13">
        <v>2.5976119668216202</v>
      </c>
      <c r="O13">
        <v>343.98113095377801</v>
      </c>
      <c r="P13">
        <v>0.22203537596301801</v>
      </c>
      <c r="Q13">
        <v>7.7827678271360903E-2</v>
      </c>
      <c r="R13">
        <v>2.13971689164036E-2</v>
      </c>
      <c r="S13">
        <v>8.2670224391763695E-3</v>
      </c>
      <c r="T13">
        <v>0.280684759602293</v>
      </c>
      <c r="U13">
        <v>6.2452050759649297E-2</v>
      </c>
      <c r="V13">
        <v>1.6024128397669601E-2</v>
      </c>
      <c r="W13">
        <v>7.5516117980630399E-3</v>
      </c>
    </row>
    <row r="14" spans="1:23">
      <c r="A14">
        <v>23</v>
      </c>
      <c r="B14">
        <v>33</v>
      </c>
      <c r="C14">
        <v>33</v>
      </c>
      <c r="D14" t="s">
        <v>661</v>
      </c>
      <c r="E14">
        <v>2</v>
      </c>
      <c r="F14">
        <v>28.397780518416301</v>
      </c>
      <c r="G14">
        <v>4.7300377887090104</v>
      </c>
      <c r="H14">
        <v>2.4299521033542502</v>
      </c>
      <c r="I14">
        <v>1.6992672880979001</v>
      </c>
      <c r="J14">
        <v>162.17352695169299</v>
      </c>
      <c r="K14">
        <v>56.5856504974698</v>
      </c>
      <c r="L14">
        <v>6.1644444381889096</v>
      </c>
      <c r="M14">
        <v>2.7671969468659499</v>
      </c>
      <c r="N14">
        <v>2.0790157344912599</v>
      </c>
      <c r="O14">
        <v>360.80539101377099</v>
      </c>
      <c r="P14">
        <v>0.175107374503086</v>
      </c>
      <c r="Q14">
        <v>2.91665222901514E-2</v>
      </c>
      <c r="R14">
        <v>1.49836545398564E-2</v>
      </c>
      <c r="S14">
        <v>1.04780806093221E-2</v>
      </c>
      <c r="T14">
        <v>0.15683149949195199</v>
      </c>
      <c r="U14">
        <v>1.7085233734641301E-2</v>
      </c>
      <c r="V14">
        <v>7.6695000013465298E-3</v>
      </c>
      <c r="W14">
        <v>5.7621526348310796E-3</v>
      </c>
    </row>
    <row r="15" spans="1:23">
      <c r="A15">
        <v>8</v>
      </c>
      <c r="B15">
        <v>45</v>
      </c>
      <c r="C15">
        <v>45</v>
      </c>
      <c r="D15" t="s">
        <v>663</v>
      </c>
      <c r="E15">
        <v>1</v>
      </c>
      <c r="F15">
        <v>41.9606195761259</v>
      </c>
      <c r="G15">
        <v>10.041421466602801</v>
      </c>
      <c r="H15">
        <v>4.6487387496663999</v>
      </c>
      <c r="I15">
        <v>2.5310171777885002</v>
      </c>
      <c r="J15">
        <v>187.045367496355</v>
      </c>
      <c r="K15">
        <v>33.727715855168398</v>
      </c>
      <c r="L15">
        <v>9.2218062427588503</v>
      </c>
      <c r="M15">
        <v>4.3424583473908802</v>
      </c>
      <c r="N15">
        <v>2.6698423803646101</v>
      </c>
      <c r="O15">
        <v>156.564790650687</v>
      </c>
      <c r="P15">
        <v>0.22433391501633199</v>
      </c>
      <c r="Q15">
        <v>5.3684416786202498E-2</v>
      </c>
      <c r="R15">
        <v>2.4853535866142099E-2</v>
      </c>
      <c r="S15">
        <v>1.35315683658288E-2</v>
      </c>
      <c r="T15">
        <v>0.215423376577806</v>
      </c>
      <c r="U15">
        <v>5.8900894667522602E-2</v>
      </c>
      <c r="V15">
        <v>2.77358551009044E-2</v>
      </c>
      <c r="W15">
        <v>1.70526359679509E-2</v>
      </c>
    </row>
    <row r="16" spans="1:23">
      <c r="A16">
        <v>56</v>
      </c>
      <c r="B16">
        <v>46</v>
      </c>
      <c r="C16">
        <v>46</v>
      </c>
      <c r="D16" t="s">
        <v>667</v>
      </c>
      <c r="E16">
        <v>1</v>
      </c>
      <c r="F16">
        <v>65.687939305879993</v>
      </c>
      <c r="G16">
        <v>22.780767205455799</v>
      </c>
      <c r="H16">
        <v>6.5938980788014598</v>
      </c>
      <c r="I16">
        <v>3.3665048428187201</v>
      </c>
      <c r="J16">
        <v>326.937428430522</v>
      </c>
      <c r="K16">
        <v>87.602613700264499</v>
      </c>
      <c r="L16">
        <v>22.8802173120501</v>
      </c>
      <c r="M16">
        <v>6.1768528773842997</v>
      </c>
      <c r="N16">
        <v>3.6320256240002</v>
      </c>
      <c r="O16">
        <v>388.96078834482398</v>
      </c>
      <c r="P16">
        <v>0.20091899425898699</v>
      </c>
      <c r="Q16">
        <v>6.9679287913946897E-2</v>
      </c>
      <c r="R16">
        <v>2.0168685214341401E-2</v>
      </c>
      <c r="S16">
        <v>1.0297092195836299E-2</v>
      </c>
      <c r="T16">
        <v>0.22522222374406201</v>
      </c>
      <c r="U16">
        <v>5.8823968887491598E-2</v>
      </c>
      <c r="V16">
        <v>1.5880399933548998E-2</v>
      </c>
      <c r="W16">
        <v>9.3377680548619099E-3</v>
      </c>
    </row>
    <row r="17" spans="1:23">
      <c r="A17">
        <v>47</v>
      </c>
      <c r="B17">
        <v>34</v>
      </c>
      <c r="C17">
        <v>34</v>
      </c>
      <c r="D17" t="s">
        <v>672</v>
      </c>
      <c r="E17">
        <v>2</v>
      </c>
      <c r="F17">
        <v>54.066833933923697</v>
      </c>
      <c r="G17">
        <v>18.970345731896099</v>
      </c>
      <c r="H17">
        <v>4.3516734855666304</v>
      </c>
      <c r="I17">
        <v>1.7343698955303</v>
      </c>
      <c r="J17">
        <v>197.891022181756</v>
      </c>
      <c r="K17">
        <v>61.705603897274898</v>
      </c>
      <c r="L17">
        <v>25.3462213444678</v>
      </c>
      <c r="M17">
        <v>5.8343959684736797</v>
      </c>
      <c r="N17">
        <v>2.0189086359773998</v>
      </c>
      <c r="O17">
        <v>199.556533476673</v>
      </c>
      <c r="P17">
        <v>0.27321519358399798</v>
      </c>
      <c r="Q17">
        <v>9.5862589028786305E-2</v>
      </c>
      <c r="R17">
        <v>2.1990252198352801E-2</v>
      </c>
      <c r="S17">
        <v>8.7642677086045093E-3</v>
      </c>
      <c r="T17">
        <v>0.309213648995802</v>
      </c>
      <c r="U17">
        <v>0.12701273620505499</v>
      </c>
      <c r="V17">
        <v>2.92368075693984E-2</v>
      </c>
      <c r="W17">
        <v>1.01169758804885E-2</v>
      </c>
    </row>
    <row r="18" spans="1:23">
      <c r="A18">
        <v>69</v>
      </c>
      <c r="B18">
        <v>47</v>
      </c>
      <c r="C18">
        <v>47</v>
      </c>
      <c r="D18" t="s">
        <v>211</v>
      </c>
      <c r="E18">
        <v>1</v>
      </c>
      <c r="F18">
        <v>46.967305294991199</v>
      </c>
      <c r="G18">
        <v>12.482965817035</v>
      </c>
      <c r="H18">
        <v>4.5350657721448</v>
      </c>
      <c r="I18">
        <v>2.02300526168982</v>
      </c>
      <c r="J18">
        <v>264.25398816844603</v>
      </c>
      <c r="K18">
        <v>67.438559081531395</v>
      </c>
      <c r="L18">
        <v>24.7186572528095</v>
      </c>
      <c r="M18">
        <v>9.1902442678302503</v>
      </c>
      <c r="N18">
        <v>4.1883660111667496</v>
      </c>
      <c r="O18">
        <v>283.31193922177499</v>
      </c>
      <c r="P18">
        <v>0.17773546435580201</v>
      </c>
      <c r="Q18">
        <v>4.7238514368524498E-2</v>
      </c>
      <c r="R18">
        <v>1.7161768507554E-2</v>
      </c>
      <c r="S18">
        <v>7.6555335104357101E-3</v>
      </c>
      <c r="T18">
        <v>0.238036417620723</v>
      </c>
      <c r="U18">
        <v>8.7248907761207695E-2</v>
      </c>
      <c r="V18">
        <v>3.2438605634039899E-2</v>
      </c>
      <c r="W18">
        <v>1.4783584562908601E-2</v>
      </c>
    </row>
    <row r="19" spans="1:23">
      <c r="B19">
        <v>72</v>
      </c>
      <c r="C19">
        <v>72</v>
      </c>
      <c r="D19" t="s">
        <v>669</v>
      </c>
      <c r="E19">
        <v>3</v>
      </c>
      <c r="F19">
        <v>65.804996776568998</v>
      </c>
      <c r="G19">
        <v>24.735127088444099</v>
      </c>
      <c r="H19">
        <v>9.6387297653475699</v>
      </c>
      <c r="I19">
        <v>4.5814419400253596</v>
      </c>
      <c r="J19">
        <v>317.87214359113699</v>
      </c>
      <c r="K19">
        <v>98.386180558138804</v>
      </c>
      <c r="L19">
        <v>29.101529718629799</v>
      </c>
      <c r="M19">
        <v>10.950504781881101</v>
      </c>
      <c r="N19">
        <v>5.2293865777310096</v>
      </c>
      <c r="O19">
        <v>493.95211674698697</v>
      </c>
      <c r="P19">
        <v>0.207017186322595</v>
      </c>
      <c r="Q19">
        <v>7.7814705022594396E-2</v>
      </c>
      <c r="R19">
        <v>3.0322662616656899E-2</v>
      </c>
      <c r="S19">
        <v>1.4412845014561099E-2</v>
      </c>
      <c r="T19">
        <v>0.199181615428797</v>
      </c>
      <c r="U19">
        <v>5.8915689865413103E-2</v>
      </c>
      <c r="V19">
        <v>2.2169162577939099E-2</v>
      </c>
      <c r="W19">
        <v>1.0586828966682201E-2</v>
      </c>
    </row>
    <row r="20" spans="1:23">
      <c r="A20">
        <v>38</v>
      </c>
      <c r="B20">
        <v>48</v>
      </c>
      <c r="C20">
        <v>48</v>
      </c>
      <c r="D20" t="s">
        <v>674</v>
      </c>
      <c r="E20">
        <v>1</v>
      </c>
      <c r="F20">
        <v>31.788154981035799</v>
      </c>
      <c r="G20">
        <v>9.5248357976218401</v>
      </c>
      <c r="H20">
        <v>3.6327806417021602</v>
      </c>
      <c r="I20">
        <v>1.7310688241685099</v>
      </c>
      <c r="J20">
        <v>147.399560060749</v>
      </c>
      <c r="K20">
        <v>58.382697250579703</v>
      </c>
      <c r="L20">
        <v>12.278879014685501</v>
      </c>
      <c r="M20">
        <v>3.8645545098777601</v>
      </c>
      <c r="N20">
        <v>2.3423268892175102</v>
      </c>
      <c r="O20">
        <v>234.755902241771</v>
      </c>
      <c r="P20">
        <v>0.21565976837335701</v>
      </c>
      <c r="Q20">
        <v>6.4619160285799407E-2</v>
      </c>
      <c r="R20">
        <v>2.4645803828756099E-2</v>
      </c>
      <c r="S20">
        <v>1.1744056925645299E-2</v>
      </c>
      <c r="T20">
        <v>0.248695332867297</v>
      </c>
      <c r="U20">
        <v>5.2304878801469598E-2</v>
      </c>
      <c r="V20">
        <v>1.6462012128230698E-2</v>
      </c>
      <c r="W20">
        <v>9.9777124530193596E-3</v>
      </c>
    </row>
    <row r="21" spans="1:23">
      <c r="A21">
        <v>70</v>
      </c>
      <c r="B21">
        <v>49</v>
      </c>
      <c r="C21">
        <v>49</v>
      </c>
      <c r="D21" t="s">
        <v>212</v>
      </c>
      <c r="E21">
        <v>1</v>
      </c>
      <c r="F21">
        <v>132.78532218045001</v>
      </c>
      <c r="G21">
        <v>23.558961304022699</v>
      </c>
      <c r="H21">
        <v>5.6972099471329196</v>
      </c>
      <c r="I21">
        <v>2.1889748192449301</v>
      </c>
      <c r="J21">
        <v>551.54184360420402</v>
      </c>
      <c r="K21">
        <v>35.8634845688577</v>
      </c>
      <c r="L21">
        <v>15.1384476773411</v>
      </c>
      <c r="M21">
        <v>5.0940698112489402</v>
      </c>
      <c r="N21">
        <v>2.3542950773508702</v>
      </c>
      <c r="O21">
        <v>184.05310162601799</v>
      </c>
      <c r="P21">
        <v>0.24075294326306701</v>
      </c>
      <c r="Q21">
        <v>4.2714730672237203E-2</v>
      </c>
      <c r="R21">
        <v>1.0329606018471601E-2</v>
      </c>
      <c r="S21">
        <v>3.9688281943224199E-3</v>
      </c>
      <c r="T21">
        <v>0.19485400817493201</v>
      </c>
      <c r="U21">
        <v>8.2250435029892793E-2</v>
      </c>
      <c r="V21">
        <v>2.76771745015181E-2</v>
      </c>
      <c r="W21">
        <v>1.2791390400660701E-2</v>
      </c>
    </row>
    <row r="22" spans="1:23">
      <c r="B22">
        <v>73</v>
      </c>
      <c r="C22">
        <v>73</v>
      </c>
      <c r="D22" t="s">
        <v>677</v>
      </c>
      <c r="E22">
        <v>1</v>
      </c>
      <c r="F22">
        <v>65.074905266485203</v>
      </c>
      <c r="G22">
        <v>15.5597655826456</v>
      </c>
      <c r="H22">
        <v>6.4267630194991101</v>
      </c>
      <c r="I22">
        <v>3.29770183763191</v>
      </c>
      <c r="J22">
        <v>327.71659541117498</v>
      </c>
      <c r="K22">
        <v>66.475486661601195</v>
      </c>
      <c r="L22">
        <v>13.205775202492299</v>
      </c>
      <c r="M22">
        <v>5.0155729583327204</v>
      </c>
      <c r="N22">
        <v>3.0629611332979598</v>
      </c>
      <c r="O22">
        <v>320.915746866343</v>
      </c>
      <c r="P22">
        <v>0.19857067410589299</v>
      </c>
      <c r="Q22">
        <v>4.7479333669762001E-2</v>
      </c>
      <c r="R22">
        <v>1.9610734120546001E-2</v>
      </c>
      <c r="S22">
        <v>1.0062663544683799E-2</v>
      </c>
      <c r="T22">
        <v>0.20714311251696599</v>
      </c>
      <c r="U22">
        <v>4.1150287361848698E-2</v>
      </c>
      <c r="V22">
        <v>1.56289400171492E-2</v>
      </c>
      <c r="W22">
        <v>9.5444401317384998E-3</v>
      </c>
    </row>
    <row r="23" spans="1:23">
      <c r="A23">
        <v>36</v>
      </c>
      <c r="B23">
        <v>50</v>
      </c>
      <c r="C23">
        <v>50</v>
      </c>
      <c r="D23" t="s">
        <v>679</v>
      </c>
      <c r="E23">
        <v>1</v>
      </c>
      <c r="F23">
        <v>59.556850135002499</v>
      </c>
      <c r="G23">
        <v>10.215573339892099</v>
      </c>
      <c r="H23">
        <v>5.0893409072780598</v>
      </c>
      <c r="I23">
        <v>2.3268432233549898</v>
      </c>
      <c r="J23">
        <v>343.061009485662</v>
      </c>
      <c r="K23">
        <v>79.953523978005606</v>
      </c>
      <c r="L23">
        <v>9.3585123794535399</v>
      </c>
      <c r="M23">
        <v>3.6193532992344601</v>
      </c>
      <c r="N23">
        <v>1.6342696354505399</v>
      </c>
      <c r="O23">
        <v>319.17332908285903</v>
      </c>
      <c r="P23">
        <v>0.17360425256223</v>
      </c>
      <c r="Q23">
        <v>2.9777716083818299E-2</v>
      </c>
      <c r="R23">
        <v>1.48350898719394E-2</v>
      </c>
      <c r="S23">
        <v>6.7825930636755596E-3</v>
      </c>
      <c r="T23">
        <v>0.250501895655728</v>
      </c>
      <c r="U23">
        <v>2.9321097744429699E-2</v>
      </c>
      <c r="V23">
        <v>1.13397736259312E-2</v>
      </c>
      <c r="W23">
        <v>5.1203201725739302E-3</v>
      </c>
    </row>
    <row r="24" spans="1:23">
      <c r="A24">
        <v>15</v>
      </c>
      <c r="B24">
        <v>9</v>
      </c>
      <c r="C24">
        <v>9</v>
      </c>
      <c r="D24" t="s">
        <v>681</v>
      </c>
      <c r="E24">
        <v>3</v>
      </c>
      <c r="F24">
        <v>28.767984206067901</v>
      </c>
      <c r="G24">
        <v>10.5883749922034</v>
      </c>
      <c r="H24">
        <v>5.2841312369865197</v>
      </c>
      <c r="I24">
        <v>3.0278324636904799</v>
      </c>
      <c r="J24">
        <v>167.95046601160701</v>
      </c>
      <c r="K24">
        <v>55.133696429492602</v>
      </c>
      <c r="L24">
        <v>12.876232423412199</v>
      </c>
      <c r="M24">
        <v>5.7406460489291398</v>
      </c>
      <c r="N24">
        <v>2.84838081696277</v>
      </c>
      <c r="O24">
        <v>263.954649808829</v>
      </c>
      <c r="P24">
        <v>0.171288504814745</v>
      </c>
      <c r="Q24">
        <v>6.3044630024852902E-2</v>
      </c>
      <c r="R24">
        <v>3.1462438672967601E-2</v>
      </c>
      <c r="S24">
        <v>1.8028127790257E-2</v>
      </c>
      <c r="T24">
        <v>0.208875640074625</v>
      </c>
      <c r="U24">
        <v>4.8781987484357303E-2</v>
      </c>
      <c r="V24">
        <v>2.1748607395576599E-2</v>
      </c>
      <c r="W24">
        <v>1.07911749954991E-2</v>
      </c>
    </row>
    <row r="25" spans="1:23">
      <c r="A25">
        <v>25</v>
      </c>
      <c r="B25">
        <v>10</v>
      </c>
      <c r="C25">
        <v>10</v>
      </c>
      <c r="D25" t="s">
        <v>683</v>
      </c>
      <c r="E25">
        <v>3</v>
      </c>
      <c r="F25">
        <v>40.032092036290301</v>
      </c>
      <c r="G25">
        <v>11.8085659915048</v>
      </c>
      <c r="H25">
        <v>5.4213885693527804</v>
      </c>
      <c r="I25">
        <v>3.35180422082483</v>
      </c>
      <c r="J25">
        <v>201.66482132979101</v>
      </c>
      <c r="K25">
        <v>52.221171346695598</v>
      </c>
      <c r="L25">
        <v>13.970279026130999</v>
      </c>
      <c r="M25">
        <v>6.4543385649619101</v>
      </c>
      <c r="N25">
        <v>3.88435298900577</v>
      </c>
      <c r="O25">
        <v>288.83322894135301</v>
      </c>
      <c r="P25">
        <v>0.198508057936511</v>
      </c>
      <c r="Q25">
        <v>5.8555408492360302E-2</v>
      </c>
      <c r="R25">
        <v>2.6883164518252501E-2</v>
      </c>
      <c r="S25">
        <v>1.66206688837587E-2</v>
      </c>
      <c r="T25">
        <v>0.180800427769684</v>
      </c>
      <c r="U25">
        <v>4.8367977179549798E-2</v>
      </c>
      <c r="V25">
        <v>2.2346246616494501E-2</v>
      </c>
      <c r="W25">
        <v>1.34484283655413E-2</v>
      </c>
    </row>
    <row r="26" spans="1:23">
      <c r="A26">
        <v>57</v>
      </c>
      <c r="B26">
        <v>11</v>
      </c>
      <c r="C26">
        <v>11</v>
      </c>
      <c r="D26" t="s">
        <v>685</v>
      </c>
      <c r="E26">
        <v>3</v>
      </c>
      <c r="F26">
        <v>46.906395321701503</v>
      </c>
      <c r="G26">
        <v>18.235429882911902</v>
      </c>
      <c r="H26">
        <v>5.9305270284777798</v>
      </c>
      <c r="I26">
        <v>3.2318400661586701</v>
      </c>
      <c r="J26">
        <v>184.06235764055501</v>
      </c>
      <c r="K26">
        <v>48.348681585963099</v>
      </c>
      <c r="L26">
        <v>14.016805044042901</v>
      </c>
      <c r="M26">
        <v>8.4558835859665393</v>
      </c>
      <c r="N26">
        <v>5.0384608687421597</v>
      </c>
      <c r="O26">
        <v>295.47601531328002</v>
      </c>
      <c r="P26">
        <v>0.25483969630174103</v>
      </c>
      <c r="Q26">
        <v>9.90720216597617E-2</v>
      </c>
      <c r="R26">
        <v>3.2220205719950497E-2</v>
      </c>
      <c r="S26">
        <v>1.7558397640814499E-2</v>
      </c>
      <c r="T26">
        <v>0.163629800999926</v>
      </c>
      <c r="U26">
        <v>4.7438046804514702E-2</v>
      </c>
      <c r="V26">
        <v>2.8617834097299399E-2</v>
      </c>
      <c r="W26">
        <v>1.70520130488429E-2</v>
      </c>
    </row>
    <row r="27" spans="1:23">
      <c r="A27">
        <v>16</v>
      </c>
      <c r="B27">
        <v>35</v>
      </c>
      <c r="C27">
        <v>35</v>
      </c>
      <c r="D27" t="s">
        <v>688</v>
      </c>
      <c r="E27">
        <v>2</v>
      </c>
      <c r="F27">
        <v>54.445723303461897</v>
      </c>
      <c r="G27">
        <v>13.5926266774125</v>
      </c>
      <c r="H27">
        <v>4.6215552255584198</v>
      </c>
      <c r="I27">
        <v>2.3978681618786499</v>
      </c>
      <c r="J27">
        <v>272.63001026056099</v>
      </c>
      <c r="K27">
        <v>85.831395649570197</v>
      </c>
      <c r="L27">
        <v>17.8328537264739</v>
      </c>
      <c r="M27">
        <v>5.5479606544285103</v>
      </c>
      <c r="N27">
        <v>3.4702021530846099</v>
      </c>
      <c r="O27">
        <v>383.39722614454598</v>
      </c>
      <c r="P27">
        <v>0.199705539575142</v>
      </c>
      <c r="Q27">
        <v>4.9857411751632198E-2</v>
      </c>
      <c r="R27">
        <v>1.6951747979400598E-2</v>
      </c>
      <c r="S27">
        <v>8.7953199267642602E-3</v>
      </c>
      <c r="T27">
        <v>0.22387067458127799</v>
      </c>
      <c r="U27">
        <v>4.6512735383616603E-2</v>
      </c>
      <c r="V27">
        <v>1.4470528934752499E-2</v>
      </c>
      <c r="W27">
        <v>9.0511926441958403E-3</v>
      </c>
    </row>
    <row r="28" spans="1:23">
      <c r="A28">
        <v>7</v>
      </c>
      <c r="B28">
        <v>51</v>
      </c>
      <c r="C28">
        <v>51</v>
      </c>
      <c r="D28" t="s">
        <v>690</v>
      </c>
      <c r="E28">
        <v>1</v>
      </c>
      <c r="F28">
        <v>54.196283791234599</v>
      </c>
      <c r="G28">
        <v>14.6064709849755</v>
      </c>
      <c r="H28">
        <v>5.5789783950535297</v>
      </c>
      <c r="I28">
        <v>2.9741631061499501</v>
      </c>
      <c r="J28">
        <v>263.75144203042601</v>
      </c>
      <c r="K28">
        <v>72.929420359960403</v>
      </c>
      <c r="L28">
        <v>15.7704229370452</v>
      </c>
      <c r="M28">
        <v>6.4357259321630398</v>
      </c>
      <c r="N28">
        <v>3.7119988938333499</v>
      </c>
      <c r="O28">
        <v>412.90359744504201</v>
      </c>
      <c r="P28">
        <v>0.205482416983269</v>
      </c>
      <c r="Q28">
        <v>5.5379681993513098E-2</v>
      </c>
      <c r="R28">
        <v>2.1152409071605999E-2</v>
      </c>
      <c r="S28">
        <v>1.1276386143158399E-2</v>
      </c>
      <c r="T28">
        <v>0.17662578096008799</v>
      </c>
      <c r="U28">
        <v>3.8193958673717499E-2</v>
      </c>
      <c r="V28">
        <v>1.5586509713129E-2</v>
      </c>
      <c r="W28">
        <v>8.9899892294530697E-3</v>
      </c>
    </row>
    <row r="29" spans="1:23">
      <c r="A29">
        <v>13</v>
      </c>
      <c r="B29">
        <v>39</v>
      </c>
      <c r="C29">
        <v>39</v>
      </c>
      <c r="D29" t="s">
        <v>81</v>
      </c>
      <c r="E29">
        <v>2</v>
      </c>
      <c r="F29">
        <v>26.137541719809398</v>
      </c>
      <c r="G29">
        <v>8.8047132682842904</v>
      </c>
      <c r="H29">
        <v>2.9447802496575801</v>
      </c>
      <c r="I29">
        <v>1.40587370618022</v>
      </c>
      <c r="J29">
        <v>126.47968037994001</v>
      </c>
      <c r="K29">
        <v>39.285300051966097</v>
      </c>
      <c r="L29">
        <v>11.275860113397201</v>
      </c>
      <c r="M29">
        <v>3.7635356475533399</v>
      </c>
      <c r="N29">
        <v>2.2090629491714502</v>
      </c>
      <c r="O29">
        <v>165.03459765776699</v>
      </c>
      <c r="P29">
        <v>0.206654077882654</v>
      </c>
      <c r="Q29">
        <v>6.9613658429838396E-2</v>
      </c>
      <c r="R29">
        <v>2.3282635130098098E-2</v>
      </c>
      <c r="S29">
        <v>1.1115411597792099E-2</v>
      </c>
      <c r="T29">
        <v>0.238042814109998</v>
      </c>
      <c r="U29">
        <v>6.8324219729853197E-2</v>
      </c>
      <c r="V29">
        <v>2.2804525238749099E-2</v>
      </c>
      <c r="W29">
        <v>1.33854535989623E-2</v>
      </c>
    </row>
    <row r="30" spans="1:23">
      <c r="A30">
        <v>68</v>
      </c>
      <c r="B30">
        <v>54</v>
      </c>
      <c r="C30">
        <v>54</v>
      </c>
      <c r="D30" t="s">
        <v>210</v>
      </c>
      <c r="E30">
        <v>1</v>
      </c>
      <c r="F30">
        <v>28.848464500791401</v>
      </c>
      <c r="G30">
        <v>6.8860901379839001</v>
      </c>
      <c r="H30">
        <v>2.96458765628718</v>
      </c>
      <c r="I30">
        <v>1.5362329662177501</v>
      </c>
      <c r="J30">
        <v>135.31376203575999</v>
      </c>
      <c r="K30">
        <v>88.295193390235795</v>
      </c>
      <c r="L30">
        <v>12.099146827482301</v>
      </c>
      <c r="M30">
        <v>4.4240877013469699</v>
      </c>
      <c r="N30">
        <v>2.94547486171601</v>
      </c>
      <c r="O30">
        <v>452.56556715144598</v>
      </c>
      <c r="P30">
        <v>0.21319682541357099</v>
      </c>
      <c r="Q30">
        <v>5.0889798896908103E-2</v>
      </c>
      <c r="R30">
        <v>2.1908988499659901E-2</v>
      </c>
      <c r="S30">
        <v>1.1353116956513001E-2</v>
      </c>
      <c r="T30">
        <v>0.19509922936909799</v>
      </c>
      <c r="U30">
        <v>2.6734572193897001E-2</v>
      </c>
      <c r="V30">
        <v>9.7755729168553795E-3</v>
      </c>
      <c r="W30">
        <v>6.5083936461528E-3</v>
      </c>
    </row>
    <row r="31" spans="1:23">
      <c r="A31">
        <v>12</v>
      </c>
      <c r="B31">
        <v>12</v>
      </c>
      <c r="C31">
        <v>12</v>
      </c>
      <c r="D31" t="s">
        <v>0</v>
      </c>
      <c r="E31">
        <v>3</v>
      </c>
      <c r="F31">
        <v>36.734904305570197</v>
      </c>
      <c r="G31">
        <v>13.2162332637324</v>
      </c>
      <c r="H31">
        <v>6.1317581948372002</v>
      </c>
      <c r="I31">
        <v>3.2859656116462501</v>
      </c>
      <c r="J31">
        <v>212.339667700598</v>
      </c>
      <c r="K31">
        <v>62.2509999676898</v>
      </c>
      <c r="L31">
        <v>16.3908631836835</v>
      </c>
      <c r="M31">
        <v>5.9860573602862699</v>
      </c>
      <c r="N31">
        <v>3.4550977641574101</v>
      </c>
      <c r="O31">
        <v>308.05178089467103</v>
      </c>
      <c r="P31">
        <v>0.17300066776673501</v>
      </c>
      <c r="Q31">
        <v>6.22410000300435E-2</v>
      </c>
      <c r="R31">
        <v>2.8877120611694E-2</v>
      </c>
      <c r="S31">
        <v>1.5475043581020901E-2</v>
      </c>
      <c r="T31">
        <v>0.202079662668708</v>
      </c>
      <c r="U31">
        <v>5.3208142917011397E-2</v>
      </c>
      <c r="V31">
        <v>1.94319842686871E-2</v>
      </c>
      <c r="W31">
        <v>1.1215964258095901E-2</v>
      </c>
    </row>
    <row r="32" spans="1:23">
      <c r="A32">
        <v>18</v>
      </c>
      <c r="B32">
        <v>52</v>
      </c>
      <c r="C32">
        <v>52</v>
      </c>
      <c r="D32" t="s">
        <v>692</v>
      </c>
      <c r="E32">
        <v>1</v>
      </c>
      <c r="F32">
        <v>39.802453834741897</v>
      </c>
      <c r="G32">
        <v>10.278543389318299</v>
      </c>
      <c r="H32">
        <v>4.5198046426659699</v>
      </c>
      <c r="I32">
        <v>2.3952050096773099</v>
      </c>
      <c r="J32">
        <v>158.076300680136</v>
      </c>
      <c r="K32">
        <v>59.036815156608299</v>
      </c>
      <c r="L32">
        <v>8.9678383343305708</v>
      </c>
      <c r="M32">
        <v>3.0532409736264898</v>
      </c>
      <c r="N32">
        <v>1.7528232297691</v>
      </c>
      <c r="O32">
        <v>248.349446831173</v>
      </c>
      <c r="P32">
        <v>0.25179267014403001</v>
      </c>
      <c r="Q32">
        <v>6.5022671615504901E-2</v>
      </c>
      <c r="R32">
        <v>2.8592550706330801E-2</v>
      </c>
      <c r="S32">
        <v>1.5152208138549301E-2</v>
      </c>
      <c r="T32">
        <v>0.23771671694820101</v>
      </c>
      <c r="U32">
        <v>3.6109757636894897E-2</v>
      </c>
      <c r="V32">
        <v>1.22941323710782E-2</v>
      </c>
      <c r="W32">
        <v>7.0578906139487398E-3</v>
      </c>
    </row>
    <row r="33" spans="1:23">
      <c r="A33">
        <v>66</v>
      </c>
      <c r="B33">
        <v>13</v>
      </c>
      <c r="C33">
        <v>13</v>
      </c>
      <c r="D33" t="s">
        <v>694</v>
      </c>
      <c r="E33">
        <v>3</v>
      </c>
      <c r="F33">
        <v>41.154577512651699</v>
      </c>
      <c r="G33">
        <v>9.7096646415892192</v>
      </c>
      <c r="H33">
        <v>4.0881162842383398</v>
      </c>
      <c r="I33">
        <v>1.68111875237474</v>
      </c>
      <c r="J33">
        <v>274.45739984089602</v>
      </c>
      <c r="K33">
        <v>38.737149384432797</v>
      </c>
      <c r="L33">
        <v>9.3215174881834102</v>
      </c>
      <c r="M33">
        <v>4.3912799234938502</v>
      </c>
      <c r="N33">
        <v>1.81046290053653</v>
      </c>
      <c r="O33">
        <v>190.17509261135001</v>
      </c>
      <c r="P33">
        <v>0.149948871979802</v>
      </c>
      <c r="Q33">
        <v>3.5377674812987203E-2</v>
      </c>
      <c r="R33">
        <v>1.4895267121994999E-2</v>
      </c>
      <c r="S33">
        <v>6.1252447678557496E-3</v>
      </c>
      <c r="T33">
        <v>0.203692023243011</v>
      </c>
      <c r="U33">
        <v>4.9015448659374503E-2</v>
      </c>
      <c r="V33">
        <v>2.3090720573319599E-2</v>
      </c>
      <c r="W33">
        <v>9.5199790660098291E-3</v>
      </c>
    </row>
    <row r="34" spans="1:23">
      <c r="A34">
        <v>49</v>
      </c>
      <c r="B34">
        <v>36</v>
      </c>
      <c r="C34">
        <v>36</v>
      </c>
      <c r="D34" t="s">
        <v>696</v>
      </c>
      <c r="E34">
        <v>2</v>
      </c>
      <c r="F34">
        <v>37.0284165062562</v>
      </c>
      <c r="G34">
        <v>22.754694249976101</v>
      </c>
      <c r="H34">
        <v>8.9030739933307697</v>
      </c>
      <c r="I34">
        <v>15.8838177086442</v>
      </c>
      <c r="J34">
        <v>270.426882115436</v>
      </c>
      <c r="K34">
        <v>23.967347003829701</v>
      </c>
      <c r="L34">
        <v>10.139218301483799</v>
      </c>
      <c r="M34">
        <v>3.9932789193383602</v>
      </c>
      <c r="N34">
        <v>2.2578067909875101</v>
      </c>
      <c r="O34">
        <v>155.239138953479</v>
      </c>
      <c r="P34">
        <v>0.13692579752648301</v>
      </c>
      <c r="Q34">
        <v>8.4143610546317193E-2</v>
      </c>
      <c r="R34">
        <v>3.2922296495399302E-2</v>
      </c>
      <c r="S34">
        <v>5.8736090082434897E-2</v>
      </c>
      <c r="T34">
        <v>0.15438984759514901</v>
      </c>
      <c r="U34">
        <v>6.5313543799816104E-2</v>
      </c>
      <c r="V34">
        <v>2.57234029141005E-2</v>
      </c>
      <c r="W34">
        <v>1.4544056390728401E-2</v>
      </c>
    </row>
    <row r="35" spans="1:23">
      <c r="A35">
        <v>29</v>
      </c>
      <c r="B35">
        <v>53</v>
      </c>
      <c r="C35">
        <v>53</v>
      </c>
      <c r="D35" t="s">
        <v>698</v>
      </c>
      <c r="E35">
        <v>1</v>
      </c>
      <c r="F35">
        <v>46.281040830364198</v>
      </c>
      <c r="G35">
        <v>14.736707829845701</v>
      </c>
      <c r="H35">
        <v>6.3045447936185903</v>
      </c>
      <c r="I35">
        <v>2.8771050485053</v>
      </c>
      <c r="J35">
        <v>243.483140994238</v>
      </c>
      <c r="K35">
        <v>58.789513439891998</v>
      </c>
      <c r="L35">
        <v>12.455802248746901</v>
      </c>
      <c r="M35">
        <v>5.5407892046252503</v>
      </c>
      <c r="N35">
        <v>3.31026373976762</v>
      </c>
      <c r="O35">
        <v>267.00553171077303</v>
      </c>
      <c r="P35">
        <v>0.19007903644326499</v>
      </c>
      <c r="Q35">
        <v>6.0524551185227399E-2</v>
      </c>
      <c r="R35">
        <v>2.5893147130740299E-2</v>
      </c>
      <c r="S35">
        <v>1.1816444607856399E-2</v>
      </c>
      <c r="T35">
        <v>0.22018088188365401</v>
      </c>
      <c r="U35">
        <v>4.6649978256777497E-2</v>
      </c>
      <c r="V35">
        <v>2.0751589561175E-2</v>
      </c>
      <c r="W35">
        <v>1.23977346782215E-2</v>
      </c>
    </row>
    <row r="36" spans="1:23">
      <c r="A36">
        <v>30</v>
      </c>
      <c r="B36">
        <v>37</v>
      </c>
      <c r="C36">
        <v>37</v>
      </c>
      <c r="D36" t="s">
        <v>700</v>
      </c>
      <c r="E36">
        <v>2</v>
      </c>
      <c r="F36">
        <v>47.421996935859099</v>
      </c>
      <c r="G36">
        <v>14.6896857152168</v>
      </c>
      <c r="H36">
        <v>4.7320348729057198</v>
      </c>
      <c r="I36">
        <v>2.45120290706156</v>
      </c>
      <c r="J36">
        <v>200.392577416439</v>
      </c>
      <c r="K36">
        <v>47.766392192662998</v>
      </c>
      <c r="L36">
        <v>10.977444941633999</v>
      </c>
      <c r="M36">
        <v>3.37985956533814</v>
      </c>
      <c r="N36">
        <v>1.8370306696930201</v>
      </c>
      <c r="O36">
        <v>241.646821394824</v>
      </c>
      <c r="P36">
        <v>0.23664547633074601</v>
      </c>
      <c r="Q36">
        <v>7.33045400413707E-2</v>
      </c>
      <c r="R36">
        <v>2.3613823096211801E-2</v>
      </c>
      <c r="S36">
        <v>1.22320044917017E-2</v>
      </c>
      <c r="T36">
        <v>0.19767026901884199</v>
      </c>
      <c r="U36">
        <v>4.5427640546937202E-2</v>
      </c>
      <c r="V36">
        <v>1.3986774358665501E-2</v>
      </c>
      <c r="W36">
        <v>7.6021304939555504E-3</v>
      </c>
    </row>
    <row r="37" spans="1:23">
      <c r="A37">
        <v>19</v>
      </c>
      <c r="B37">
        <v>38</v>
      </c>
      <c r="C37">
        <v>38</v>
      </c>
      <c r="D37" t="s">
        <v>702</v>
      </c>
      <c r="E37">
        <v>2</v>
      </c>
      <c r="F37">
        <v>63.827866248545597</v>
      </c>
      <c r="G37">
        <v>12.445337251638501</v>
      </c>
      <c r="H37">
        <v>4.9158344064074804</v>
      </c>
      <c r="I37">
        <v>2.1499085536684701</v>
      </c>
      <c r="J37">
        <v>286.18730246474001</v>
      </c>
      <c r="K37">
        <v>48.111497724427799</v>
      </c>
      <c r="L37">
        <v>12.5817100331851</v>
      </c>
      <c r="M37">
        <v>3.7014030648006102</v>
      </c>
      <c r="N37">
        <v>1.8926934159256299</v>
      </c>
      <c r="O37">
        <v>234.42442632490599</v>
      </c>
      <c r="P37">
        <v>0.22302829545140199</v>
      </c>
      <c r="Q37">
        <v>4.3486685623209599E-2</v>
      </c>
      <c r="R37">
        <v>1.7176982920173899E-2</v>
      </c>
      <c r="S37">
        <v>7.5122429791704502E-3</v>
      </c>
      <c r="T37">
        <v>0.20523244304647101</v>
      </c>
      <c r="U37">
        <v>5.3670644439360801E-2</v>
      </c>
      <c r="V37">
        <v>1.57893233347218E-2</v>
      </c>
      <c r="W37">
        <v>8.0737892616292804E-3</v>
      </c>
    </row>
    <row r="38" spans="1:23">
      <c r="B38">
        <v>74</v>
      </c>
      <c r="C38">
        <v>74</v>
      </c>
      <c r="D38" t="s">
        <v>706</v>
      </c>
      <c r="E38">
        <v>2</v>
      </c>
      <c r="F38">
        <v>106.38398188946201</v>
      </c>
      <c r="G38">
        <v>18.344714469103199</v>
      </c>
      <c r="H38">
        <v>5.8185318428470101</v>
      </c>
      <c r="I38">
        <v>2.90526355138282</v>
      </c>
      <c r="J38">
        <v>466.34247895113702</v>
      </c>
      <c r="K38">
        <v>99.935158153721602</v>
      </c>
      <c r="L38">
        <v>12.6824601716707</v>
      </c>
      <c r="M38">
        <v>3.5037704107399499</v>
      </c>
      <c r="N38">
        <v>1.83322619738849</v>
      </c>
      <c r="O38">
        <v>350.402914544689</v>
      </c>
      <c r="P38">
        <v>0.228124150578632</v>
      </c>
      <c r="Q38">
        <v>3.9337429672636301E-2</v>
      </c>
      <c r="R38">
        <v>1.24769501074267E-2</v>
      </c>
      <c r="S38">
        <v>6.2298925843451503E-3</v>
      </c>
      <c r="T38">
        <v>0.28520070469041803</v>
      </c>
      <c r="U38">
        <v>3.6193934597119899E-2</v>
      </c>
      <c r="V38">
        <v>9.9992616080055198E-3</v>
      </c>
      <c r="W38">
        <v>5.2317664074529001E-3</v>
      </c>
    </row>
    <row r="39" spans="1:23">
      <c r="A39">
        <v>11</v>
      </c>
      <c r="B39">
        <v>40</v>
      </c>
      <c r="C39">
        <v>40</v>
      </c>
      <c r="D39" t="s">
        <v>708</v>
      </c>
      <c r="E39">
        <v>2</v>
      </c>
      <c r="F39">
        <v>36.431911292312897</v>
      </c>
      <c r="G39">
        <v>10.993260629866599</v>
      </c>
      <c r="H39">
        <v>3.7228829326549602</v>
      </c>
      <c r="I39">
        <v>1.58353543795999</v>
      </c>
      <c r="J39">
        <v>149.06372107970901</v>
      </c>
      <c r="K39">
        <v>80.134124736872494</v>
      </c>
      <c r="L39">
        <v>14.135417821925399</v>
      </c>
      <c r="M39">
        <v>4.9595474078916499</v>
      </c>
      <c r="N39">
        <v>2.9616262620393901</v>
      </c>
      <c r="O39">
        <v>313.97889209964302</v>
      </c>
      <c r="P39">
        <v>0.244404949966542</v>
      </c>
      <c r="Q39">
        <v>7.3748733429162799E-2</v>
      </c>
      <c r="R39">
        <v>2.49751106821237E-2</v>
      </c>
      <c r="S39">
        <v>1.06232115131033E-2</v>
      </c>
      <c r="T39">
        <v>0.25522137555489399</v>
      </c>
      <c r="U39">
        <v>4.5020280590834801E-2</v>
      </c>
      <c r="V39">
        <v>1.5795798802671401E-2</v>
      </c>
      <c r="W39">
        <v>9.4325648524789998E-3</v>
      </c>
    </row>
    <row r="40" spans="1:23">
      <c r="B40">
        <v>75</v>
      </c>
      <c r="C40">
        <v>75</v>
      </c>
      <c r="D40" t="s">
        <v>512</v>
      </c>
      <c r="E40">
        <v>1</v>
      </c>
      <c r="F40">
        <v>85.626026600629402</v>
      </c>
      <c r="G40">
        <v>16.832201021394599</v>
      </c>
      <c r="H40">
        <v>5.3486882763357197</v>
      </c>
      <c r="I40">
        <v>3.38088480658821</v>
      </c>
      <c r="J40">
        <v>310.63076331434502</v>
      </c>
      <c r="K40">
        <v>83.257272353729306</v>
      </c>
      <c r="L40">
        <v>12.623470970188</v>
      </c>
      <c r="M40">
        <v>5.2505443743692801</v>
      </c>
      <c r="N40">
        <v>4.3188561082558499</v>
      </c>
      <c r="O40">
        <v>351.80904206462299</v>
      </c>
      <c r="P40">
        <v>0.27565211406308698</v>
      </c>
      <c r="Q40">
        <v>5.4187166917402801E-2</v>
      </c>
      <c r="R40">
        <v>1.72187977110402E-2</v>
      </c>
      <c r="S40">
        <v>1.0883934258523201E-2</v>
      </c>
      <c r="T40">
        <v>0.23665472571462801</v>
      </c>
      <c r="U40">
        <v>3.58815989950289E-2</v>
      </c>
      <c r="V40">
        <v>1.49244156533214E-2</v>
      </c>
      <c r="W40">
        <v>1.2276137312759901E-2</v>
      </c>
    </row>
    <row r="41" spans="1:23">
      <c r="A41">
        <v>73</v>
      </c>
      <c r="B41">
        <v>55</v>
      </c>
      <c r="C41">
        <v>55</v>
      </c>
      <c r="D41" t="s">
        <v>217</v>
      </c>
      <c r="E41">
        <v>1</v>
      </c>
      <c r="F41">
        <v>53.239998234118197</v>
      </c>
      <c r="G41">
        <v>18.109027177276499</v>
      </c>
      <c r="H41">
        <v>6.0306451609447</v>
      </c>
      <c r="I41">
        <v>4.3918918609469904</v>
      </c>
      <c r="J41">
        <v>281.70179505016199</v>
      </c>
      <c r="K41">
        <v>101.748020217723</v>
      </c>
      <c r="L41">
        <v>38.634613065811102</v>
      </c>
      <c r="M41">
        <v>10.7287766429258</v>
      </c>
      <c r="N41">
        <v>4.2292133284592701</v>
      </c>
      <c r="O41">
        <v>411.74824424063098</v>
      </c>
      <c r="P41">
        <v>0.18899417458322501</v>
      </c>
      <c r="Q41">
        <v>6.4284386878159003E-2</v>
      </c>
      <c r="R41">
        <v>2.1407904624359399E-2</v>
      </c>
      <c r="S41">
        <v>1.5590571086580801E-2</v>
      </c>
      <c r="T41">
        <v>0.24711221393395999</v>
      </c>
      <c r="U41">
        <v>9.3830668633604494E-2</v>
      </c>
      <c r="V41">
        <v>2.60566421180796E-2</v>
      </c>
      <c r="W41">
        <v>1.02713572859528E-2</v>
      </c>
    </row>
    <row r="42" spans="1:23">
      <c r="A42">
        <v>20</v>
      </c>
      <c r="B42">
        <v>56</v>
      </c>
      <c r="C42">
        <v>56</v>
      </c>
      <c r="D42" t="s">
        <v>712</v>
      </c>
      <c r="E42">
        <v>1</v>
      </c>
      <c r="F42">
        <v>78.027268567004398</v>
      </c>
      <c r="G42">
        <v>48.073810337292898</v>
      </c>
      <c r="H42">
        <v>15.9636948301268</v>
      </c>
      <c r="I42">
        <v>5.1951572307484204</v>
      </c>
      <c r="J42">
        <v>371.81545432197203</v>
      </c>
      <c r="K42">
        <v>136.443102254075</v>
      </c>
      <c r="L42">
        <v>36.000122572849698</v>
      </c>
      <c r="M42">
        <v>12.5233850794129</v>
      </c>
      <c r="N42">
        <v>4.3894579395592999</v>
      </c>
      <c r="O42">
        <v>548.58732455650602</v>
      </c>
      <c r="P42">
        <v>0.20985482894811899</v>
      </c>
      <c r="Q42">
        <v>0.129294814883256</v>
      </c>
      <c r="R42">
        <v>4.29344575233905E-2</v>
      </c>
      <c r="S42">
        <v>1.39724080060688E-2</v>
      </c>
      <c r="T42">
        <v>0.248717198058449</v>
      </c>
      <c r="U42">
        <v>6.5623321869409307E-2</v>
      </c>
      <c r="V42">
        <v>2.2828425883768301E-2</v>
      </c>
      <c r="W42">
        <v>8.0013841790965001E-3</v>
      </c>
    </row>
    <row r="43" spans="1:23">
      <c r="A43">
        <v>10</v>
      </c>
      <c r="B43">
        <v>14</v>
      </c>
      <c r="C43">
        <v>14</v>
      </c>
      <c r="D43" t="s">
        <v>714</v>
      </c>
      <c r="E43">
        <v>3</v>
      </c>
      <c r="F43">
        <v>35.817452010238</v>
      </c>
      <c r="G43">
        <v>10.5850476244664</v>
      </c>
      <c r="H43">
        <v>3.5150009246626799</v>
      </c>
      <c r="I43">
        <v>2.00371817124145</v>
      </c>
      <c r="J43">
        <v>133.40969252465001</v>
      </c>
      <c r="K43">
        <v>75.930442656978201</v>
      </c>
      <c r="L43">
        <v>11.4540623924612</v>
      </c>
      <c r="M43">
        <v>3.9851480986164098</v>
      </c>
      <c r="N43">
        <v>2.42912412744408</v>
      </c>
      <c r="O43">
        <v>323.365747185168</v>
      </c>
      <c r="P43">
        <v>0.26847713485000402</v>
      </c>
      <c r="Q43">
        <v>7.9342418261781497E-2</v>
      </c>
      <c r="R43">
        <v>2.6347417928522798E-2</v>
      </c>
      <c r="S43">
        <v>1.5019284830981999E-2</v>
      </c>
      <c r="T43">
        <v>0.23481288082592899</v>
      </c>
      <c r="U43">
        <v>3.5421384275132702E-2</v>
      </c>
      <c r="V43">
        <v>1.2323964839524E-2</v>
      </c>
      <c r="W43">
        <v>7.5120019624499504E-3</v>
      </c>
    </row>
    <row r="44" spans="1:23">
      <c r="A44">
        <v>37</v>
      </c>
      <c r="B44">
        <v>57</v>
      </c>
      <c r="C44">
        <v>57</v>
      </c>
      <c r="D44" t="s">
        <v>718</v>
      </c>
      <c r="E44">
        <v>1</v>
      </c>
      <c r="F44">
        <v>42.581506204912699</v>
      </c>
      <c r="G44">
        <v>7.8720635403136301</v>
      </c>
      <c r="H44">
        <v>4.3071787335057801</v>
      </c>
      <c r="I44">
        <v>3.1316153517424699</v>
      </c>
      <c r="J44">
        <v>234.91683293043599</v>
      </c>
      <c r="K44">
        <v>40.907097236379698</v>
      </c>
      <c r="L44">
        <v>7.5529830118774397</v>
      </c>
      <c r="M44">
        <v>3.22359971014698</v>
      </c>
      <c r="N44">
        <v>2.2328933653679002</v>
      </c>
      <c r="O44">
        <v>186.51710251182101</v>
      </c>
      <c r="P44">
        <v>0.181262047822354</v>
      </c>
      <c r="Q44">
        <v>3.3510001995662501E-2</v>
      </c>
      <c r="R44">
        <v>1.83349089112794E-2</v>
      </c>
      <c r="S44">
        <v>1.33307405547639E-2</v>
      </c>
      <c r="T44">
        <v>0.21932089167955601</v>
      </c>
      <c r="U44">
        <v>4.0494854949823002E-2</v>
      </c>
      <c r="V44">
        <v>1.7283132038482502E-2</v>
      </c>
      <c r="W44">
        <v>1.1971520762962699E-2</v>
      </c>
    </row>
    <row r="45" spans="1:23">
      <c r="A45">
        <v>74</v>
      </c>
      <c r="B45">
        <v>58</v>
      </c>
      <c r="C45">
        <v>58</v>
      </c>
      <c r="D45" t="s">
        <v>216</v>
      </c>
      <c r="E45">
        <v>1</v>
      </c>
      <c r="F45">
        <v>65.301408521001505</v>
      </c>
      <c r="G45">
        <v>17.2616761743095</v>
      </c>
      <c r="H45">
        <v>6.8053943004393904</v>
      </c>
      <c r="I45">
        <v>3.9407100452610702</v>
      </c>
      <c r="J45">
        <v>362.46663021418198</v>
      </c>
      <c r="K45">
        <v>74.951489837170996</v>
      </c>
      <c r="L45">
        <v>23.900879087409699</v>
      </c>
      <c r="M45">
        <v>9.0298485441343601</v>
      </c>
      <c r="N45">
        <v>4.09955378272541</v>
      </c>
      <c r="O45">
        <v>398.59725370551098</v>
      </c>
      <c r="P45">
        <v>0.18015840101588099</v>
      </c>
      <c r="Q45">
        <v>4.7622800929590599E-2</v>
      </c>
      <c r="R45">
        <v>1.8775229864382501E-2</v>
      </c>
      <c r="S45">
        <v>1.0871925073302599E-2</v>
      </c>
      <c r="T45">
        <v>0.18803814913523301</v>
      </c>
      <c r="U45">
        <v>5.9962478078356099E-2</v>
      </c>
      <c r="V45">
        <v>2.2654066128628501E-2</v>
      </c>
      <c r="W45">
        <v>1.02849524039978E-2</v>
      </c>
    </row>
    <row r="46" spans="1:23">
      <c r="A46">
        <v>5</v>
      </c>
      <c r="B46">
        <v>15</v>
      </c>
      <c r="C46">
        <v>15</v>
      </c>
      <c r="D46" t="s">
        <v>5</v>
      </c>
      <c r="E46">
        <v>3</v>
      </c>
      <c r="F46">
        <v>39.279128770850299</v>
      </c>
      <c r="G46">
        <v>10.213748894842301</v>
      </c>
      <c r="H46">
        <v>3.8945860094375102</v>
      </c>
      <c r="I46">
        <v>2.0737600281014399</v>
      </c>
      <c r="J46">
        <v>180.19010638726499</v>
      </c>
      <c r="K46">
        <v>59.605270790347298</v>
      </c>
      <c r="L46">
        <v>13.2136182965177</v>
      </c>
      <c r="M46">
        <v>5.0261323828387798</v>
      </c>
      <c r="N46">
        <v>2.8909394188736002</v>
      </c>
      <c r="O46">
        <v>301.570874997266</v>
      </c>
      <c r="P46">
        <v>0.217987155667868</v>
      </c>
      <c r="Q46">
        <v>5.6683183664318001E-2</v>
      </c>
      <c r="R46">
        <v>2.1613761640537899E-2</v>
      </c>
      <c r="S46">
        <v>1.15087341346284E-2</v>
      </c>
      <c r="T46">
        <v>0.19764929484947</v>
      </c>
      <c r="U46">
        <v>4.3815962985939802E-2</v>
      </c>
      <c r="V46">
        <v>1.6666504624772999E-2</v>
      </c>
      <c r="W46">
        <v>9.5862686305493092E-3</v>
      </c>
    </row>
    <row r="47" spans="1:23">
      <c r="A47">
        <v>4</v>
      </c>
      <c r="B47">
        <v>16</v>
      </c>
      <c r="C47">
        <v>16</v>
      </c>
      <c r="D47" t="s">
        <v>722</v>
      </c>
      <c r="E47">
        <v>3</v>
      </c>
      <c r="F47">
        <v>22.451999637812101</v>
      </c>
      <c r="G47">
        <v>6.9011567969234502</v>
      </c>
      <c r="H47">
        <v>2.9267380895495498</v>
      </c>
      <c r="I47">
        <v>1.38783174823747</v>
      </c>
      <c r="J47">
        <v>107.923052943759</v>
      </c>
      <c r="K47">
        <v>26.3494168730547</v>
      </c>
      <c r="L47">
        <v>9.3284858058874605</v>
      </c>
      <c r="M47">
        <v>3.1285300849029798</v>
      </c>
      <c r="N47">
        <v>1.6351176201419699</v>
      </c>
      <c r="O47">
        <v>105.27820203101599</v>
      </c>
      <c r="P47">
        <v>0.20803710630306499</v>
      </c>
      <c r="Q47">
        <v>6.3945159154456199E-2</v>
      </c>
      <c r="R47">
        <v>2.7118748123950299E-2</v>
      </c>
      <c r="S47">
        <v>1.2859455977034801E-2</v>
      </c>
      <c r="T47">
        <v>0.25028368992559202</v>
      </c>
      <c r="U47">
        <v>8.8607951370020394E-2</v>
      </c>
      <c r="V47">
        <v>2.9716788704097399E-2</v>
      </c>
      <c r="W47">
        <v>1.55313976549509E-2</v>
      </c>
    </row>
    <row r="48" spans="1:23">
      <c r="A48">
        <v>2</v>
      </c>
      <c r="B48">
        <v>59</v>
      </c>
      <c r="C48">
        <v>59</v>
      </c>
      <c r="D48" t="s">
        <v>724</v>
      </c>
      <c r="E48">
        <v>1</v>
      </c>
      <c r="F48">
        <v>43.337541509343197</v>
      </c>
      <c r="G48">
        <v>8.1332290705085306</v>
      </c>
      <c r="H48">
        <v>3.8270539959302199</v>
      </c>
      <c r="I48">
        <v>2.7278854569452098</v>
      </c>
      <c r="J48">
        <v>205.97424347239101</v>
      </c>
      <c r="K48">
        <v>40.531982441546099</v>
      </c>
      <c r="L48">
        <v>6.8977436588729404</v>
      </c>
      <c r="M48">
        <v>3.2878887562107701</v>
      </c>
      <c r="N48">
        <v>2.4597672928014198</v>
      </c>
      <c r="O48">
        <v>198.92796269958399</v>
      </c>
      <c r="P48">
        <v>0.210402722101282</v>
      </c>
      <c r="Q48">
        <v>3.9486631597210997E-2</v>
      </c>
      <c r="R48">
        <v>1.8580255139731602E-2</v>
      </c>
      <c r="S48">
        <v>1.32438183093065E-2</v>
      </c>
      <c r="T48">
        <v>0.20375206125624701</v>
      </c>
      <c r="U48">
        <v>3.4674580512794602E-2</v>
      </c>
      <c r="V48">
        <v>1.6528037142651799E-2</v>
      </c>
      <c r="W48">
        <v>1.2365115790765401E-2</v>
      </c>
    </row>
    <row r="49" spans="1:23">
      <c r="A49">
        <v>58</v>
      </c>
      <c r="B49">
        <v>60</v>
      </c>
      <c r="C49">
        <v>60</v>
      </c>
      <c r="D49" t="s">
        <v>46</v>
      </c>
      <c r="E49">
        <v>1</v>
      </c>
      <c r="F49">
        <v>46.8044970097761</v>
      </c>
      <c r="G49">
        <v>9.7587340481165494</v>
      </c>
      <c r="H49">
        <v>4.40875870980625</v>
      </c>
      <c r="I49">
        <v>2.7236147079010902</v>
      </c>
      <c r="J49">
        <v>346.07909884244901</v>
      </c>
      <c r="K49">
        <v>101.64595659631</v>
      </c>
      <c r="L49">
        <v>9.6893877376658004</v>
      </c>
      <c r="M49">
        <v>3.42554414684956</v>
      </c>
      <c r="N49">
        <v>2.52670432348991</v>
      </c>
      <c r="O49">
        <v>553.10681556057796</v>
      </c>
      <c r="P49">
        <v>0.135242195111828</v>
      </c>
      <c r="Q49">
        <v>2.8197987340920501E-2</v>
      </c>
      <c r="R49">
        <v>1.2739164903493101E-2</v>
      </c>
      <c r="S49">
        <v>7.8699196715748699E-3</v>
      </c>
      <c r="T49">
        <v>0.18377274287117801</v>
      </c>
      <c r="U49">
        <v>1.75181130752214E-2</v>
      </c>
      <c r="V49">
        <v>6.1932777728977099E-3</v>
      </c>
      <c r="W49">
        <v>4.5682031976573599E-3</v>
      </c>
    </row>
    <row r="50" spans="1:23">
      <c r="B50">
        <v>76</v>
      </c>
      <c r="C50">
        <v>77</v>
      </c>
      <c r="D50" t="s">
        <v>728</v>
      </c>
      <c r="E50">
        <v>3</v>
      </c>
      <c r="F50">
        <v>52.5017851995974</v>
      </c>
      <c r="G50">
        <v>10.665579975887299</v>
      </c>
      <c r="H50">
        <v>3.8979242648203898</v>
      </c>
      <c r="I50">
        <v>1.25920583337505</v>
      </c>
      <c r="J50">
        <v>255.19106743545899</v>
      </c>
      <c r="K50">
        <v>88.107934427897703</v>
      </c>
      <c r="L50">
        <v>15.4250643179244</v>
      </c>
      <c r="M50">
        <v>5.4823898683803796</v>
      </c>
      <c r="N50">
        <v>3.5979845358052698</v>
      </c>
      <c r="O50">
        <v>423.40058349974203</v>
      </c>
      <c r="P50">
        <v>0.205735199618128</v>
      </c>
      <c r="Q50">
        <v>4.1794487883416297E-2</v>
      </c>
      <c r="R50">
        <v>1.52745325453299E-2</v>
      </c>
      <c r="S50">
        <v>4.9343648507348898E-3</v>
      </c>
      <c r="T50">
        <v>0.20809592112418801</v>
      </c>
      <c r="U50">
        <v>3.6431372367095101E-2</v>
      </c>
      <c r="V50">
        <v>1.29484702714958E-2</v>
      </c>
      <c r="W50">
        <v>8.4978261155548504E-3</v>
      </c>
    </row>
    <row r="51" spans="1:23">
      <c r="B51">
        <v>77</v>
      </c>
      <c r="C51">
        <v>78</v>
      </c>
      <c r="D51" t="s">
        <v>730</v>
      </c>
      <c r="E51">
        <v>3</v>
      </c>
      <c r="F51">
        <v>28.8948308472647</v>
      </c>
      <c r="G51">
        <v>6.7124144779213299</v>
      </c>
      <c r="H51">
        <v>4.0122517022415698</v>
      </c>
      <c r="I51">
        <v>2.64233457623489</v>
      </c>
      <c r="J51">
        <v>200.894359193431</v>
      </c>
      <c r="K51">
        <v>60.293616960000897</v>
      </c>
      <c r="L51">
        <v>8.14575371452238</v>
      </c>
      <c r="M51">
        <v>3.9266961191031799</v>
      </c>
      <c r="N51">
        <v>2.81274627082386</v>
      </c>
      <c r="O51">
        <v>288.04438338910802</v>
      </c>
      <c r="P51">
        <v>0.14383097147811599</v>
      </c>
      <c r="Q51">
        <v>3.34126578011993E-2</v>
      </c>
      <c r="R51">
        <v>1.9971948034530802E-2</v>
      </c>
      <c r="S51">
        <v>1.31528559927893E-2</v>
      </c>
      <c r="T51">
        <v>0.209320578483742</v>
      </c>
      <c r="U51">
        <v>2.82795089377549E-2</v>
      </c>
      <c r="V51">
        <v>1.3632260670740999E-2</v>
      </c>
      <c r="W51">
        <v>9.7649752365566306E-3</v>
      </c>
    </row>
    <row r="52" spans="1:23">
      <c r="A52">
        <v>62</v>
      </c>
      <c r="B52">
        <v>17</v>
      </c>
      <c r="C52">
        <v>17</v>
      </c>
      <c r="D52" t="s">
        <v>206</v>
      </c>
      <c r="E52">
        <v>3</v>
      </c>
      <c r="F52">
        <v>24.418815086793899</v>
      </c>
      <c r="G52">
        <v>3.9404835984930799</v>
      </c>
      <c r="H52">
        <v>2.19952483108327</v>
      </c>
      <c r="I52">
        <v>1.48087950320993</v>
      </c>
      <c r="J52">
        <v>183.51795491521099</v>
      </c>
      <c r="K52">
        <v>55.787739186345902</v>
      </c>
      <c r="L52">
        <v>4.6637348010798201</v>
      </c>
      <c r="M52">
        <v>1.79218039341973</v>
      </c>
      <c r="N52">
        <v>1.39435592524992</v>
      </c>
      <c r="O52">
        <v>308.06224772436298</v>
      </c>
      <c r="P52">
        <v>0.133059542310592</v>
      </c>
      <c r="Q52">
        <v>2.1471924097637499E-2</v>
      </c>
      <c r="R52">
        <v>1.19853386122327E-2</v>
      </c>
      <c r="S52">
        <v>8.0693984623691397E-3</v>
      </c>
      <c r="T52">
        <v>0.18109242400990899</v>
      </c>
      <c r="U52">
        <v>1.51389364829042E-2</v>
      </c>
      <c r="V52">
        <v>5.8175917583490298E-3</v>
      </c>
      <c r="W52">
        <v>4.5262148658264502E-3</v>
      </c>
    </row>
    <row r="53" spans="1:23">
      <c r="B53">
        <v>78</v>
      </c>
      <c r="C53">
        <v>79</v>
      </c>
      <c r="D53" t="s">
        <v>733</v>
      </c>
      <c r="E53">
        <v>3</v>
      </c>
      <c r="F53">
        <v>14.2258631310815</v>
      </c>
      <c r="G53">
        <v>4.3280275522685603</v>
      </c>
      <c r="H53">
        <v>1.4905895005335099</v>
      </c>
      <c r="I53">
        <v>0.58711084423361604</v>
      </c>
      <c r="J53">
        <v>48.801291751674299</v>
      </c>
      <c r="K53">
        <v>24.823785295557599</v>
      </c>
      <c r="L53">
        <v>6.1553248473289202</v>
      </c>
      <c r="M53">
        <v>2.3265441456886302</v>
      </c>
      <c r="N53">
        <v>1.56883327620131</v>
      </c>
      <c r="O53">
        <v>91.872604076448297</v>
      </c>
      <c r="P53">
        <v>0.29150587249759502</v>
      </c>
      <c r="Q53">
        <v>8.8686741619294698E-2</v>
      </c>
      <c r="R53">
        <v>3.0544058303177302E-2</v>
      </c>
      <c r="S53">
        <v>1.2030641467876199E-2</v>
      </c>
      <c r="T53">
        <v>0.27019790660229198</v>
      </c>
      <c r="U53">
        <v>6.6998480223843498E-2</v>
      </c>
      <c r="V53">
        <v>2.5323589867472199E-2</v>
      </c>
      <c r="W53">
        <v>1.7076181653628401E-2</v>
      </c>
    </row>
    <row r="54" spans="1:23">
      <c r="A54">
        <v>26</v>
      </c>
      <c r="B54">
        <v>18</v>
      </c>
      <c r="C54">
        <v>18</v>
      </c>
      <c r="D54" t="s">
        <v>735</v>
      </c>
      <c r="E54">
        <v>3</v>
      </c>
      <c r="F54">
        <v>29.108154791766701</v>
      </c>
      <c r="G54">
        <v>16.1133124449088</v>
      </c>
      <c r="H54">
        <v>6.2503128580916796</v>
      </c>
      <c r="I54">
        <v>2.2282959577675499</v>
      </c>
      <c r="J54">
        <v>115.940033103403</v>
      </c>
      <c r="K54">
        <v>11.193489029862199</v>
      </c>
      <c r="L54">
        <v>9.3972783071159203</v>
      </c>
      <c r="M54">
        <v>7.1411606828224601</v>
      </c>
      <c r="N54">
        <v>2.5992370335967099</v>
      </c>
      <c r="O54">
        <v>68.772717223884399</v>
      </c>
      <c r="P54">
        <v>0.25106215698425799</v>
      </c>
      <c r="Q54">
        <v>0.138979712301254</v>
      </c>
      <c r="R54">
        <v>5.3909876431699998E-2</v>
      </c>
      <c r="S54">
        <v>1.9219383487498201E-2</v>
      </c>
      <c r="T54">
        <v>0.16276060452028801</v>
      </c>
      <c r="U54">
        <v>0.13664253335408899</v>
      </c>
      <c r="V54">
        <v>0.10383711697147199</v>
      </c>
      <c r="W54">
        <v>3.7794595568109997E-2</v>
      </c>
    </row>
    <row r="55" spans="1:23">
      <c r="A55">
        <v>35</v>
      </c>
      <c r="B55">
        <v>21</v>
      </c>
      <c r="C55">
        <v>21</v>
      </c>
      <c r="D55" t="s">
        <v>743</v>
      </c>
      <c r="E55">
        <v>3</v>
      </c>
      <c r="F55">
        <v>56.619779523895197</v>
      </c>
      <c r="G55">
        <v>10.744124988473899</v>
      </c>
      <c r="H55">
        <v>4.8208033781439203</v>
      </c>
      <c r="I55">
        <v>2.6095242184684602</v>
      </c>
      <c r="J55">
        <v>276.30383260177899</v>
      </c>
      <c r="K55">
        <v>79.3134320554542</v>
      </c>
      <c r="L55">
        <v>13.983002921337301</v>
      </c>
      <c r="M55">
        <v>4.5790583828876903</v>
      </c>
      <c r="N55">
        <v>3.3975622354189401</v>
      </c>
      <c r="O55">
        <v>433.75551702678001</v>
      </c>
      <c r="P55">
        <v>0.20491854561242401</v>
      </c>
      <c r="Q55">
        <v>3.8885182616915599E-2</v>
      </c>
      <c r="R55">
        <v>1.7447471983104399E-2</v>
      </c>
      <c r="S55">
        <v>9.4444010924358592E-3</v>
      </c>
      <c r="T55">
        <v>0.182852848994558</v>
      </c>
      <c r="U55">
        <v>3.2237060676911303E-2</v>
      </c>
      <c r="V55">
        <v>1.05567726591129E-2</v>
      </c>
      <c r="W55">
        <v>7.8328968786561398E-3</v>
      </c>
    </row>
    <row r="56" spans="1:23">
      <c r="A56">
        <v>64</v>
      </c>
      <c r="B56">
        <v>20</v>
      </c>
      <c r="C56">
        <v>20</v>
      </c>
      <c r="D56" t="s">
        <v>209</v>
      </c>
      <c r="E56">
        <v>3</v>
      </c>
      <c r="F56">
        <v>46.390885315425301</v>
      </c>
      <c r="G56">
        <v>11.1155095220732</v>
      </c>
      <c r="H56">
        <v>4.7250676990812304</v>
      </c>
      <c r="I56">
        <v>3.0755664567809502</v>
      </c>
      <c r="J56">
        <v>220.05841684738201</v>
      </c>
      <c r="K56">
        <v>75.164500408594805</v>
      </c>
      <c r="L56">
        <v>22.6706627465515</v>
      </c>
      <c r="M56">
        <v>8.8943923274696104</v>
      </c>
      <c r="N56">
        <v>4.8361587130218897</v>
      </c>
      <c r="O56">
        <v>312.40725744291598</v>
      </c>
      <c r="P56">
        <v>0.210811683461301</v>
      </c>
      <c r="Q56">
        <v>5.0511630872007003E-2</v>
      </c>
      <c r="R56">
        <v>2.1471878998194499E-2</v>
      </c>
      <c r="S56">
        <v>1.39761364316002E-2</v>
      </c>
      <c r="T56">
        <v>0.24059780500563199</v>
      </c>
      <c r="U56">
        <v>7.2567657141236502E-2</v>
      </c>
      <c r="V56">
        <v>2.8470504815640601E-2</v>
      </c>
      <c r="W56">
        <v>1.5480302066623999E-2</v>
      </c>
    </row>
    <row r="57" spans="1:23">
      <c r="A57">
        <v>44</v>
      </c>
      <c r="B57">
        <v>41</v>
      </c>
      <c r="C57">
        <v>41</v>
      </c>
      <c r="D57" t="s">
        <v>737</v>
      </c>
      <c r="E57">
        <v>2</v>
      </c>
      <c r="F57">
        <v>67.074011529101298</v>
      </c>
      <c r="G57">
        <v>24.082949858863199</v>
      </c>
      <c r="H57">
        <v>10.2283487595595</v>
      </c>
      <c r="I57">
        <v>4.4595751466034796</v>
      </c>
      <c r="J57">
        <v>346.54660764434198</v>
      </c>
      <c r="K57">
        <v>74.186149875181499</v>
      </c>
      <c r="L57">
        <v>26.070170994382501</v>
      </c>
      <c r="M57">
        <v>10.493773163242601</v>
      </c>
      <c r="N57">
        <v>5.2265455030753802</v>
      </c>
      <c r="O57">
        <v>356.148021524434</v>
      </c>
      <c r="P57">
        <v>0.19354975651049799</v>
      </c>
      <c r="Q57">
        <v>6.9494115156883501E-2</v>
      </c>
      <c r="R57">
        <v>2.95150739725515E-2</v>
      </c>
      <c r="S57">
        <v>1.28686157885588E-2</v>
      </c>
      <c r="T57">
        <v>0.20830145162014299</v>
      </c>
      <c r="U57">
        <v>7.3200381354902394E-2</v>
      </c>
      <c r="V57">
        <v>2.9464639781868598E-2</v>
      </c>
      <c r="W57">
        <v>1.46752057773731E-2</v>
      </c>
    </row>
    <row r="58" spans="1:23">
      <c r="A58">
        <v>59</v>
      </c>
      <c r="B58">
        <v>19</v>
      </c>
      <c r="C58">
        <v>19</v>
      </c>
      <c r="D58" t="s">
        <v>202</v>
      </c>
      <c r="E58">
        <v>3</v>
      </c>
      <c r="F58">
        <v>25.178877158754698</v>
      </c>
      <c r="G58">
        <v>5.2268309092647502</v>
      </c>
      <c r="H58">
        <v>3.2242794227889502</v>
      </c>
      <c r="I58">
        <v>1.5762459135731299</v>
      </c>
      <c r="J58">
        <v>158.30927990602399</v>
      </c>
      <c r="K58">
        <v>41.885777695294699</v>
      </c>
      <c r="L58">
        <v>7.8936087448918002</v>
      </c>
      <c r="M58">
        <v>2.872379501218</v>
      </c>
      <c r="N58">
        <v>1.9384022097990901</v>
      </c>
      <c r="O58">
        <v>218.41959603232101</v>
      </c>
      <c r="P58">
        <v>0.15904864941399199</v>
      </c>
      <c r="Q58">
        <v>3.3016579396782798E-2</v>
      </c>
      <c r="R58">
        <v>2.0366964114188198E-2</v>
      </c>
      <c r="S58">
        <v>9.9567499423206998E-3</v>
      </c>
      <c r="T58">
        <v>0.19176748998792501</v>
      </c>
      <c r="U58">
        <v>3.6139654537790403E-2</v>
      </c>
      <c r="V58">
        <v>1.3150740837342099E-2</v>
      </c>
      <c r="W58">
        <v>8.87467170991494E-3</v>
      </c>
    </row>
    <row r="59" spans="1:23">
      <c r="A59">
        <v>21</v>
      </c>
      <c r="B59">
        <v>61</v>
      </c>
      <c r="C59">
        <v>61</v>
      </c>
      <c r="D59" t="s">
        <v>741</v>
      </c>
      <c r="E59">
        <v>1</v>
      </c>
      <c r="F59">
        <v>45.292891932653802</v>
      </c>
      <c r="G59">
        <v>13.744922016728999</v>
      </c>
      <c r="H59">
        <v>5.3516136430025103</v>
      </c>
      <c r="I59">
        <v>2.6001612969557302</v>
      </c>
      <c r="J59">
        <v>212.27942864342799</v>
      </c>
      <c r="K59">
        <v>49.934151906865402</v>
      </c>
      <c r="L59">
        <v>14.062088074744601</v>
      </c>
      <c r="M59">
        <v>6.9772220418582798</v>
      </c>
      <c r="N59">
        <v>3.6580137626381601</v>
      </c>
      <c r="O59">
        <v>282.40078315145303</v>
      </c>
      <c r="P59">
        <v>0.21336448954144199</v>
      </c>
      <c r="Q59">
        <v>6.4749194514823999E-2</v>
      </c>
      <c r="R59">
        <v>2.5210231990928301E-2</v>
      </c>
      <c r="S59">
        <v>1.2248767172457899E-2</v>
      </c>
      <c r="T59">
        <v>0.176820160870749</v>
      </c>
      <c r="U59">
        <v>4.9794791352271203E-2</v>
      </c>
      <c r="V59">
        <v>2.47068084018605E-2</v>
      </c>
      <c r="W59">
        <v>1.29532706029231E-2</v>
      </c>
    </row>
    <row r="60" spans="1:23">
      <c r="A60">
        <v>52</v>
      </c>
      <c r="B60">
        <v>62</v>
      </c>
      <c r="C60">
        <v>62</v>
      </c>
      <c r="D60" t="s">
        <v>745</v>
      </c>
      <c r="E60">
        <v>1</v>
      </c>
      <c r="F60">
        <v>67.628721225592102</v>
      </c>
      <c r="G60">
        <v>17.1648234640776</v>
      </c>
      <c r="H60">
        <v>6.1381967272188103</v>
      </c>
      <c r="I60">
        <v>3.1971045913883498</v>
      </c>
      <c r="J60">
        <v>352.01997487277202</v>
      </c>
      <c r="K60">
        <v>80.838426696373205</v>
      </c>
      <c r="L60">
        <v>15.727898697809801</v>
      </c>
      <c r="M60">
        <v>5.6851750188762704</v>
      </c>
      <c r="N60">
        <v>3.2573755235933999</v>
      </c>
      <c r="O60">
        <v>365.05180661845799</v>
      </c>
      <c r="P60">
        <v>0.192116146960225</v>
      </c>
      <c r="Q60">
        <v>4.8760935995979603E-2</v>
      </c>
      <c r="R60">
        <v>1.74370693862963E-2</v>
      </c>
      <c r="S60">
        <v>9.0821681143061894E-3</v>
      </c>
      <c r="T60">
        <v>0.221443710812431</v>
      </c>
      <c r="U60">
        <v>4.3084018247985599E-2</v>
      </c>
      <c r="V60">
        <v>1.55736115143193E-2</v>
      </c>
      <c r="W60">
        <v>8.9230500014972295E-3</v>
      </c>
    </row>
    <row r="61" spans="1:23">
      <c r="A61">
        <v>77</v>
      </c>
      <c r="B61">
        <v>42</v>
      </c>
      <c r="C61">
        <v>42</v>
      </c>
      <c r="D61" t="s">
        <v>219</v>
      </c>
      <c r="E61">
        <v>2</v>
      </c>
      <c r="F61">
        <v>17.377191513044199</v>
      </c>
      <c r="G61">
        <v>7.9232690556374497</v>
      </c>
      <c r="H61">
        <v>2.06843101337649</v>
      </c>
      <c r="I61">
        <v>1.28315597350054</v>
      </c>
      <c r="J61">
        <v>94.660662399244501</v>
      </c>
      <c r="K61">
        <v>28.492508353106299</v>
      </c>
      <c r="L61">
        <v>10.5714772832011</v>
      </c>
      <c r="M61">
        <v>3.9933817588852301</v>
      </c>
      <c r="N61">
        <v>2.26078508918348</v>
      </c>
      <c r="O61">
        <v>166.63131981176301</v>
      </c>
      <c r="P61">
        <v>0.18357352539699701</v>
      </c>
      <c r="Q61">
        <v>8.3701812926471594E-2</v>
      </c>
      <c r="R61">
        <v>2.1851009288870099E-2</v>
      </c>
      <c r="S61">
        <v>1.35553242601309E-2</v>
      </c>
      <c r="T61">
        <v>0.17099131414966401</v>
      </c>
      <c r="U61">
        <v>6.3442318617792301E-2</v>
      </c>
      <c r="V61">
        <v>2.3965373156717502E-2</v>
      </c>
      <c r="W61">
        <v>1.3567587964479899E-2</v>
      </c>
    </row>
    <row r="62" spans="1:23">
      <c r="A62">
        <v>71</v>
      </c>
      <c r="B62">
        <v>63</v>
      </c>
      <c r="C62">
        <v>63</v>
      </c>
      <c r="D62" t="s">
        <v>820</v>
      </c>
      <c r="E62">
        <v>1</v>
      </c>
      <c r="F62">
        <v>42.258554863739697</v>
      </c>
      <c r="G62">
        <v>21.885189286594201</v>
      </c>
      <c r="H62">
        <v>5.7300363912981798</v>
      </c>
      <c r="I62">
        <v>2.2053320729850601</v>
      </c>
      <c r="J62">
        <v>170.33780698822599</v>
      </c>
      <c r="K62">
        <v>101.454596669219</v>
      </c>
      <c r="L62">
        <v>63.796647196695602</v>
      </c>
      <c r="M62">
        <v>19.516526390408998</v>
      </c>
      <c r="N62">
        <v>7.6428605440048001</v>
      </c>
      <c r="O62">
        <v>399.40805471949199</v>
      </c>
      <c r="P62">
        <v>0.248086761306378</v>
      </c>
      <c r="Q62">
        <v>0.12848110277777</v>
      </c>
      <c r="R62">
        <v>3.3639251864351301E-2</v>
      </c>
      <c r="S62">
        <v>1.29468149906233E-2</v>
      </c>
      <c r="T62">
        <v>0.254012395269474</v>
      </c>
      <c r="U62">
        <v>0.159727993571638</v>
      </c>
      <c r="V62">
        <v>4.8863627460181497E-2</v>
      </c>
      <c r="W62">
        <v>1.9135469236774501E-2</v>
      </c>
    </row>
    <row r="63" spans="1:23">
      <c r="A63">
        <v>39</v>
      </c>
      <c r="B63">
        <v>64</v>
      </c>
      <c r="C63">
        <v>64</v>
      </c>
      <c r="D63" t="s">
        <v>749</v>
      </c>
      <c r="E63">
        <v>1</v>
      </c>
      <c r="F63">
        <v>36.274719168946099</v>
      </c>
      <c r="G63">
        <v>21.450560049134999</v>
      </c>
      <c r="H63">
        <v>20.4345845737977</v>
      </c>
      <c r="I63">
        <v>22.7999413561902</v>
      </c>
      <c r="J63">
        <v>1000.62624582887</v>
      </c>
      <c r="K63">
        <v>74.751778095660697</v>
      </c>
      <c r="L63">
        <v>8.9882163033342906</v>
      </c>
      <c r="M63">
        <v>5.8270942548421498</v>
      </c>
      <c r="N63">
        <v>1.9989294972073399</v>
      </c>
      <c r="O63">
        <v>293.82028062096299</v>
      </c>
      <c r="P63">
        <v>3.6252016494828197E-2</v>
      </c>
      <c r="Q63">
        <v>2.1437135132675301E-2</v>
      </c>
      <c r="R63">
        <v>2.0421795509541901E-2</v>
      </c>
      <c r="S63">
        <v>2.2785671924189801E-2</v>
      </c>
      <c r="T63">
        <v>0.25441326901492201</v>
      </c>
      <c r="U63">
        <v>3.0590864198817399E-2</v>
      </c>
      <c r="V63">
        <v>1.98321717021273E-2</v>
      </c>
      <c r="W63">
        <v>6.8032386769993599E-3</v>
      </c>
    </row>
    <row r="64" spans="1:23">
      <c r="A64">
        <v>22</v>
      </c>
      <c r="B64">
        <v>65</v>
      </c>
      <c r="C64">
        <v>65</v>
      </c>
      <c r="D64" t="s">
        <v>751</v>
      </c>
      <c r="E64">
        <v>1</v>
      </c>
      <c r="F64">
        <v>62.912613255951598</v>
      </c>
      <c r="G64">
        <v>10.4642835187383</v>
      </c>
      <c r="H64">
        <v>3.8741743859142899</v>
      </c>
      <c r="I64">
        <v>2.5101657317803001</v>
      </c>
      <c r="J64">
        <v>328.12480770808099</v>
      </c>
      <c r="K64">
        <v>78.603193151867302</v>
      </c>
      <c r="L64">
        <v>18.066635728477898</v>
      </c>
      <c r="M64">
        <v>5.8568223955267502</v>
      </c>
      <c r="N64">
        <v>4.0021699828910302</v>
      </c>
      <c r="O64">
        <v>444.28137681547298</v>
      </c>
      <c r="P64">
        <v>0.191733790856564</v>
      </c>
      <c r="Q64">
        <v>3.1891168460654602E-2</v>
      </c>
      <c r="R64">
        <v>1.18070145716046E-2</v>
      </c>
      <c r="S64">
        <v>7.6500333800225296E-3</v>
      </c>
      <c r="T64">
        <v>0.17692209769241399</v>
      </c>
      <c r="U64">
        <v>4.0664850410737897E-2</v>
      </c>
      <c r="V64">
        <v>1.3182687146392201E-2</v>
      </c>
      <c r="W64">
        <v>9.0081875850341608E-3</v>
      </c>
    </row>
    <row r="65" spans="1:23">
      <c r="A65">
        <v>79</v>
      </c>
      <c r="B65">
        <v>23</v>
      </c>
      <c r="C65">
        <v>23</v>
      </c>
      <c r="D65" t="s">
        <v>223</v>
      </c>
      <c r="E65">
        <v>3</v>
      </c>
      <c r="F65">
        <v>47.7009755333576</v>
      </c>
      <c r="G65">
        <v>11.4020650390133</v>
      </c>
      <c r="H65">
        <v>4.9967220909943304</v>
      </c>
      <c r="I65">
        <v>2.08500022366308</v>
      </c>
      <c r="J65">
        <v>363.84155956665501</v>
      </c>
      <c r="K65">
        <v>75.501580076531397</v>
      </c>
      <c r="L65">
        <v>15.945667430076099</v>
      </c>
      <c r="M65">
        <v>4.6296175093412302</v>
      </c>
      <c r="N65">
        <v>2.3407657926557999</v>
      </c>
      <c r="O65">
        <v>360.44030704813798</v>
      </c>
      <c r="P65">
        <v>0.13110370236476199</v>
      </c>
      <c r="Q65">
        <v>3.1337995177333301E-2</v>
      </c>
      <c r="R65">
        <v>1.37332362387231E-2</v>
      </c>
      <c r="S65">
        <v>5.7305169484936601E-3</v>
      </c>
      <c r="T65">
        <v>0.20947041326997901</v>
      </c>
      <c r="U65">
        <v>4.4239412513724499E-2</v>
      </c>
      <c r="V65">
        <v>1.28443390453636E-2</v>
      </c>
      <c r="W65">
        <v>6.4941843264582104E-3</v>
      </c>
    </row>
    <row r="66" spans="1:23">
      <c r="A66">
        <v>63</v>
      </c>
      <c r="B66">
        <v>22</v>
      </c>
      <c r="C66">
        <v>22</v>
      </c>
      <c r="D66" t="s">
        <v>753</v>
      </c>
      <c r="E66">
        <v>3</v>
      </c>
      <c r="F66">
        <v>42.974775389413701</v>
      </c>
      <c r="G66">
        <v>8.1599441583691199</v>
      </c>
      <c r="H66">
        <v>4.3252959861386397</v>
      </c>
      <c r="I66">
        <v>2.5585764831370299</v>
      </c>
      <c r="J66">
        <v>203.99685057295301</v>
      </c>
      <c r="K66">
        <v>113.225205774331</v>
      </c>
      <c r="L66">
        <v>23.523106838763901</v>
      </c>
      <c r="M66">
        <v>9.5333308754670707</v>
      </c>
      <c r="N66">
        <v>4.9578145115496399</v>
      </c>
      <c r="O66">
        <v>465.069751214451</v>
      </c>
      <c r="P66">
        <v>0.21066391598063</v>
      </c>
      <c r="Q66">
        <v>4.0000343806538198E-2</v>
      </c>
      <c r="R66">
        <v>2.1202758640589101E-2</v>
      </c>
      <c r="S66">
        <v>1.25422352156463E-2</v>
      </c>
      <c r="T66">
        <v>0.24345854676349599</v>
      </c>
      <c r="U66">
        <v>5.0579739441959599E-2</v>
      </c>
      <c r="V66">
        <v>2.04987119686292E-2</v>
      </c>
      <c r="W66">
        <v>1.06603676085214E-2</v>
      </c>
    </row>
    <row r="67" spans="1:23">
      <c r="A67">
        <v>75</v>
      </c>
      <c r="B67">
        <v>66</v>
      </c>
      <c r="C67">
        <v>66</v>
      </c>
      <c r="D67" t="s">
        <v>218</v>
      </c>
      <c r="E67">
        <v>1</v>
      </c>
      <c r="F67">
        <v>34.794274197685503</v>
      </c>
      <c r="G67">
        <v>11.8232136615634</v>
      </c>
      <c r="H67">
        <v>5.0319675322062398</v>
      </c>
      <c r="I67">
        <v>2.0491449163321702</v>
      </c>
      <c r="J67">
        <v>159.58190865329399</v>
      </c>
      <c r="K67">
        <v>45.058037447262102</v>
      </c>
      <c r="L67">
        <v>20.152623062622599</v>
      </c>
      <c r="M67">
        <v>7.2854618437824303</v>
      </c>
      <c r="N67">
        <v>3.6091259135276701</v>
      </c>
      <c r="O67">
        <v>165.683994278185</v>
      </c>
      <c r="P67">
        <v>0.21803395191418001</v>
      </c>
      <c r="Q67">
        <v>7.4088684371173497E-2</v>
      </c>
      <c r="R67">
        <v>3.1532192932587501E-2</v>
      </c>
      <c r="S67">
        <v>1.2840709411391499E-2</v>
      </c>
      <c r="T67">
        <v>0.27195166101324902</v>
      </c>
      <c r="U67">
        <v>0.12163289007136199</v>
      </c>
      <c r="V67">
        <v>4.3972031671025903E-2</v>
      </c>
      <c r="W67">
        <v>2.1783189916751499E-2</v>
      </c>
    </row>
    <row r="68" spans="1:23">
      <c r="A68">
        <v>72</v>
      </c>
      <c r="B68">
        <v>67</v>
      </c>
      <c r="C68">
        <v>67</v>
      </c>
      <c r="D68" t="s">
        <v>215</v>
      </c>
      <c r="E68">
        <v>1</v>
      </c>
      <c r="F68">
        <v>77.797525813598796</v>
      </c>
      <c r="G68">
        <v>18.217625561307301</v>
      </c>
      <c r="H68">
        <v>6.2852002920252303</v>
      </c>
      <c r="I68">
        <v>3.6441302632813701</v>
      </c>
      <c r="J68">
        <v>380.36254116737501</v>
      </c>
      <c r="K68">
        <v>75.255695263255006</v>
      </c>
      <c r="L68">
        <v>17.1734727436912</v>
      </c>
      <c r="M68">
        <v>6.6377539156014604</v>
      </c>
      <c r="N68">
        <v>3.27902747746713</v>
      </c>
      <c r="O68">
        <v>295.28635854990603</v>
      </c>
      <c r="P68">
        <v>0.20453519312082999</v>
      </c>
      <c r="Q68">
        <v>4.7895424994783699E-2</v>
      </c>
      <c r="R68">
        <v>1.6524235727143999E-2</v>
      </c>
      <c r="S68">
        <v>9.5806759837525606E-3</v>
      </c>
      <c r="T68">
        <v>0.25485666060843798</v>
      </c>
      <c r="U68">
        <v>5.8158706782212202E-2</v>
      </c>
      <c r="V68">
        <v>2.2479040170355898E-2</v>
      </c>
      <c r="W68">
        <v>1.11045680998262E-2</v>
      </c>
    </row>
    <row r="69" spans="1:23">
      <c r="A69">
        <v>24</v>
      </c>
      <c r="B69">
        <v>68</v>
      </c>
      <c r="C69">
        <v>68</v>
      </c>
      <c r="D69" t="s">
        <v>758</v>
      </c>
      <c r="E69">
        <v>1</v>
      </c>
      <c r="F69">
        <v>57.904567790722602</v>
      </c>
      <c r="G69">
        <v>8.2584817443461507</v>
      </c>
      <c r="H69">
        <v>3.9136923602032598</v>
      </c>
      <c r="I69">
        <v>2.4474402878303798</v>
      </c>
      <c r="J69">
        <v>288.760973918643</v>
      </c>
      <c r="K69">
        <v>74.695464981125994</v>
      </c>
      <c r="L69">
        <v>12.916865000274299</v>
      </c>
      <c r="M69">
        <v>6.1246033246516403</v>
      </c>
      <c r="N69">
        <v>3.0827544326254199</v>
      </c>
      <c r="O69">
        <v>340.12877796785801</v>
      </c>
      <c r="P69">
        <v>0.20052767867113899</v>
      </c>
      <c r="Q69">
        <v>2.8599715648115798E-2</v>
      </c>
      <c r="R69">
        <v>1.35533978400624E-2</v>
      </c>
      <c r="S69">
        <v>8.4756615640171097E-3</v>
      </c>
      <c r="T69">
        <v>0.219609365098136</v>
      </c>
      <c r="U69">
        <v>3.7976395521272202E-2</v>
      </c>
      <c r="V69">
        <v>1.8006718988154601E-2</v>
      </c>
      <c r="W69">
        <v>9.0634919251576605E-3</v>
      </c>
    </row>
    <row r="70" spans="1:23">
      <c r="B70">
        <v>79</v>
      </c>
      <c r="C70">
        <v>80</v>
      </c>
      <c r="D70" t="s">
        <v>513</v>
      </c>
      <c r="E70">
        <v>2</v>
      </c>
      <c r="F70">
        <v>71.400022644585704</v>
      </c>
      <c r="G70">
        <v>13.664342339234301</v>
      </c>
      <c r="H70">
        <v>5.4273076040775798</v>
      </c>
      <c r="I70">
        <v>2.4997715309850701</v>
      </c>
      <c r="J70">
        <v>570.19688718361601</v>
      </c>
      <c r="K70">
        <v>87.537915772780707</v>
      </c>
      <c r="L70">
        <v>16.419373348736901</v>
      </c>
      <c r="M70">
        <v>6.7502172052079397</v>
      </c>
      <c r="N70">
        <v>3.7836887344637402</v>
      </c>
      <c r="O70">
        <v>727.305659295189</v>
      </c>
      <c r="P70">
        <v>0.12521994463570801</v>
      </c>
      <c r="Q70">
        <v>2.3964252780696201E-2</v>
      </c>
      <c r="R70">
        <v>9.5183045121217304E-3</v>
      </c>
      <c r="S70">
        <v>4.3840497680235303E-3</v>
      </c>
      <c r="T70">
        <v>0.12035918413945999</v>
      </c>
      <c r="U70">
        <v>2.2575616096055798E-2</v>
      </c>
      <c r="V70">
        <v>9.2811283934589196E-3</v>
      </c>
      <c r="W70">
        <v>5.2023364401294599E-3</v>
      </c>
    </row>
    <row r="71" spans="1:23">
      <c r="A71">
        <v>6</v>
      </c>
      <c r="B71">
        <v>24</v>
      </c>
      <c r="C71">
        <v>24</v>
      </c>
      <c r="D71" t="s">
        <v>761</v>
      </c>
      <c r="E71">
        <v>3</v>
      </c>
      <c r="F71">
        <v>45.259159027947099</v>
      </c>
      <c r="G71">
        <v>10.443693685749</v>
      </c>
      <c r="H71">
        <v>4.7359638639795598</v>
      </c>
      <c r="I71">
        <v>2.7982832797753798</v>
      </c>
      <c r="J71">
        <v>256.99826116997502</v>
      </c>
      <c r="K71">
        <v>128.114376788903</v>
      </c>
      <c r="L71">
        <v>13.8265818488072</v>
      </c>
      <c r="M71">
        <v>5.3369127582667</v>
      </c>
      <c r="N71">
        <v>4.2061366404885101</v>
      </c>
      <c r="O71">
        <v>593.66003829413296</v>
      </c>
      <c r="P71">
        <v>0.17610686866870801</v>
      </c>
      <c r="Q71">
        <v>4.0637215357817898E-2</v>
      </c>
      <c r="R71">
        <v>1.8427999638671699E-2</v>
      </c>
      <c r="S71">
        <v>1.08883354581323E-2</v>
      </c>
      <c r="T71">
        <v>0.215804279427392</v>
      </c>
      <c r="U71">
        <v>2.3290403525454698E-2</v>
      </c>
      <c r="V71">
        <v>8.9898467372036307E-3</v>
      </c>
      <c r="W71">
        <v>7.0850930990314399E-3</v>
      </c>
    </row>
    <row r="72" spans="1:23">
      <c r="A72">
        <v>46</v>
      </c>
      <c r="B72">
        <v>25</v>
      </c>
      <c r="C72">
        <v>25</v>
      </c>
      <c r="D72" t="s">
        <v>763</v>
      </c>
      <c r="E72">
        <v>3</v>
      </c>
      <c r="F72">
        <v>65.163343161885393</v>
      </c>
      <c r="G72">
        <v>15.8743681326221</v>
      </c>
      <c r="H72">
        <v>6.0536201237887299</v>
      </c>
      <c r="I72">
        <v>2.93466922091668</v>
      </c>
      <c r="J72">
        <v>301.43157912973197</v>
      </c>
      <c r="K72">
        <v>51.654979932017902</v>
      </c>
      <c r="L72">
        <v>20.543055263664002</v>
      </c>
      <c r="M72">
        <v>8.1860370118447197</v>
      </c>
      <c r="N72">
        <v>4.6030690790543796</v>
      </c>
      <c r="O72">
        <v>294.14895954488998</v>
      </c>
      <c r="P72">
        <v>0.216179550098963</v>
      </c>
      <c r="Q72">
        <v>5.2663255052616799E-2</v>
      </c>
      <c r="R72">
        <v>2.0082899546445199E-2</v>
      </c>
      <c r="S72">
        <v>9.7357723082280093E-3</v>
      </c>
      <c r="T72">
        <v>0.17560823608534601</v>
      </c>
      <c r="U72">
        <v>6.9838952670267407E-2</v>
      </c>
      <c r="V72">
        <v>2.7829563036735699E-2</v>
      </c>
      <c r="W72">
        <v>1.5648768862471199E-2</v>
      </c>
    </row>
    <row r="73" spans="1:23">
      <c r="B73">
        <v>80</v>
      </c>
      <c r="C73">
        <v>81</v>
      </c>
      <c r="D73" t="s">
        <v>769</v>
      </c>
      <c r="E73">
        <v>1</v>
      </c>
      <c r="F73">
        <v>44.716828477259199</v>
      </c>
      <c r="G73">
        <v>11.6716878546274</v>
      </c>
      <c r="H73">
        <v>3.5557664390595298</v>
      </c>
      <c r="I73">
        <v>1.2937916045450899</v>
      </c>
      <c r="J73">
        <v>145.68967915069001</v>
      </c>
      <c r="K73">
        <v>25.088745629571601</v>
      </c>
      <c r="L73">
        <v>5.7141798353779301</v>
      </c>
      <c r="M73">
        <v>2.1349954556588902</v>
      </c>
      <c r="N73">
        <v>0.96715118012852896</v>
      </c>
      <c r="O73">
        <v>191.38487092499</v>
      </c>
      <c r="P73">
        <v>0.30693202660572599</v>
      </c>
      <c r="Q73">
        <v>8.01133472368704E-2</v>
      </c>
      <c r="R73">
        <v>2.4406440180170502E-2</v>
      </c>
      <c r="S73">
        <v>8.8804616228641796E-3</v>
      </c>
      <c r="T73">
        <v>0.13109053766013001</v>
      </c>
      <c r="U73">
        <v>2.9857009113418799E-2</v>
      </c>
      <c r="V73">
        <v>1.11555079842004E-2</v>
      </c>
      <c r="W73">
        <v>5.0534359139996201E-3</v>
      </c>
    </row>
    <row r="74" spans="1:23">
      <c r="A74">
        <v>14</v>
      </c>
      <c r="B74">
        <v>69</v>
      </c>
      <c r="C74">
        <v>69</v>
      </c>
      <c r="D74" t="s">
        <v>767</v>
      </c>
      <c r="E74">
        <v>2</v>
      </c>
      <c r="F74">
        <v>24.959282898455299</v>
      </c>
      <c r="G74">
        <v>4.1281200225547803</v>
      </c>
      <c r="H74">
        <v>1.88394748571667</v>
      </c>
      <c r="I74">
        <v>1.04513680330269</v>
      </c>
      <c r="J74">
        <v>132.96909335564399</v>
      </c>
      <c r="K74">
        <v>40.465104424404302</v>
      </c>
      <c r="L74">
        <v>6.9110715819283897</v>
      </c>
      <c r="M74">
        <v>3.4096561879903802</v>
      </c>
      <c r="N74">
        <v>2.1988842684327898</v>
      </c>
      <c r="O74">
        <v>217.97450160333301</v>
      </c>
      <c r="P74">
        <v>0.18770740078447001</v>
      </c>
      <c r="Q74">
        <v>3.1045710836830099E-2</v>
      </c>
      <c r="R74">
        <v>1.4168311132857001E-2</v>
      </c>
      <c r="S74">
        <v>7.8599979658982404E-3</v>
      </c>
      <c r="T74">
        <v>0.185641458641993</v>
      </c>
      <c r="U74">
        <v>3.1705871701016901E-2</v>
      </c>
      <c r="V74">
        <v>1.56424543371372E-2</v>
      </c>
      <c r="W74">
        <v>1.0087805005900599E-2</v>
      </c>
    </row>
    <row r="75" spans="1:23">
      <c r="A75">
        <v>53</v>
      </c>
      <c r="B75">
        <v>26</v>
      </c>
      <c r="C75">
        <v>26</v>
      </c>
      <c r="D75" t="s">
        <v>765</v>
      </c>
      <c r="E75">
        <v>3</v>
      </c>
      <c r="F75">
        <v>78.538605959871902</v>
      </c>
      <c r="G75">
        <v>17.458839801164501</v>
      </c>
      <c r="H75">
        <v>6.3431001730439398</v>
      </c>
      <c r="I75">
        <v>4.2467445252669203</v>
      </c>
      <c r="J75">
        <v>418.07609274870401</v>
      </c>
      <c r="K75">
        <v>99.068049301949102</v>
      </c>
      <c r="L75">
        <v>17.5877904191867</v>
      </c>
      <c r="M75">
        <v>5.8071918655186696</v>
      </c>
      <c r="N75">
        <v>3.6249534569023698</v>
      </c>
      <c r="O75">
        <v>445.19691325642299</v>
      </c>
      <c r="P75">
        <v>0.187857204279508</v>
      </c>
      <c r="Q75">
        <v>4.17599573474264E-2</v>
      </c>
      <c r="R75">
        <v>1.51721188631961E-2</v>
      </c>
      <c r="S75">
        <v>1.01578267662857E-2</v>
      </c>
      <c r="T75">
        <v>0.22252636159875699</v>
      </c>
      <c r="U75">
        <v>3.9505643223219103E-2</v>
      </c>
      <c r="V75">
        <v>1.30440973254769E-2</v>
      </c>
      <c r="W75">
        <v>8.1423598164403303E-3</v>
      </c>
    </row>
    <row r="76" spans="1:23">
      <c r="A76">
        <v>45</v>
      </c>
      <c r="B76">
        <v>70</v>
      </c>
      <c r="C76">
        <v>70</v>
      </c>
      <c r="D76" t="s">
        <v>771</v>
      </c>
      <c r="E76">
        <v>1</v>
      </c>
      <c r="F76">
        <v>45.278552624399197</v>
      </c>
      <c r="G76">
        <v>17.681907997915498</v>
      </c>
      <c r="H76">
        <v>8.7187657091125104</v>
      </c>
      <c r="I76">
        <v>2.4682578273354698</v>
      </c>
      <c r="J76">
        <v>156.731224490042</v>
      </c>
      <c r="K76">
        <v>43.060104904511803</v>
      </c>
      <c r="L76">
        <v>15.7995600317533</v>
      </c>
      <c r="M76">
        <v>6.4718324715553699</v>
      </c>
      <c r="N76">
        <v>2.4709534592031299</v>
      </c>
      <c r="O76">
        <v>147.53302373650101</v>
      </c>
      <c r="P76">
        <v>0.28889299354179399</v>
      </c>
      <c r="Q76">
        <v>0.112816754003213</v>
      </c>
      <c r="R76">
        <v>5.5628772999642202E-2</v>
      </c>
      <c r="S76">
        <v>1.57483477549956E-2</v>
      </c>
      <c r="T76">
        <v>0.29186756845313899</v>
      </c>
      <c r="U76">
        <v>0.10709168450293401</v>
      </c>
      <c r="V76">
        <v>4.38670089424473E-2</v>
      </c>
      <c r="W76">
        <v>1.67484770299044E-2</v>
      </c>
    </row>
    <row r="77" spans="1:23">
      <c r="A77">
        <v>55</v>
      </c>
      <c r="B77">
        <v>71</v>
      </c>
      <c r="C77">
        <v>71</v>
      </c>
      <c r="D77" t="s">
        <v>4</v>
      </c>
      <c r="E77">
        <v>1</v>
      </c>
      <c r="F77">
        <v>25.301513909189701</v>
      </c>
      <c r="G77">
        <v>7.1129506233733997</v>
      </c>
      <c r="H77">
        <v>2.4957103202591102</v>
      </c>
      <c r="I77">
        <v>1.40802800337987</v>
      </c>
      <c r="J77">
        <v>143.41341774363599</v>
      </c>
      <c r="K77">
        <v>26.512686591048801</v>
      </c>
      <c r="L77">
        <v>7.6841373452274304</v>
      </c>
      <c r="M77">
        <v>2.8941835744694999</v>
      </c>
      <c r="N77">
        <v>1.8998832941757899</v>
      </c>
      <c r="O77">
        <v>97.152748716851804</v>
      </c>
      <c r="P77">
        <v>0.17642361717101199</v>
      </c>
      <c r="Q77">
        <v>4.9597525359087499E-2</v>
      </c>
      <c r="R77">
        <v>1.7402209357568001E-2</v>
      </c>
      <c r="S77">
        <v>9.8179656097230599E-3</v>
      </c>
      <c r="T77">
        <v>0.27289692717103797</v>
      </c>
      <c r="U77">
        <v>7.9093360164441406E-2</v>
      </c>
      <c r="V77">
        <v>2.9790032836893701E-2</v>
      </c>
      <c r="W77">
        <v>1.9555630893295001E-2</v>
      </c>
    </row>
    <row r="78" spans="1:23">
      <c r="A78">
        <v>31</v>
      </c>
      <c r="B78">
        <v>27</v>
      </c>
      <c r="C78">
        <v>27</v>
      </c>
      <c r="D78" t="s">
        <v>774</v>
      </c>
      <c r="E78">
        <v>3</v>
      </c>
      <c r="F78">
        <v>56.556467736608298</v>
      </c>
      <c r="G78">
        <v>19.476498842517699</v>
      </c>
      <c r="H78">
        <v>7.32753865277376</v>
      </c>
      <c r="I78">
        <v>3.5840848419242599</v>
      </c>
      <c r="J78">
        <v>265.26521494522098</v>
      </c>
      <c r="K78">
        <v>105.817622313391</v>
      </c>
      <c r="L78">
        <v>26.4582083640855</v>
      </c>
      <c r="M78">
        <v>8.4886671346517293</v>
      </c>
      <c r="N78">
        <v>5.04346880866773</v>
      </c>
      <c r="O78">
        <v>541.18245251307997</v>
      </c>
      <c r="P78">
        <v>0.21320725278015601</v>
      </c>
      <c r="Q78">
        <v>7.3422739753268199E-2</v>
      </c>
      <c r="R78">
        <v>2.76234434065806E-2</v>
      </c>
      <c r="S78">
        <v>1.35113261746905E-2</v>
      </c>
      <c r="T78">
        <v>0.19553040166399899</v>
      </c>
      <c r="U78">
        <v>4.8889627225018099E-2</v>
      </c>
      <c r="V78">
        <v>1.56854071953609E-2</v>
      </c>
      <c r="W78">
        <v>9.3193502214409495E-3</v>
      </c>
    </row>
    <row r="79" spans="1:23">
      <c r="A79">
        <v>42</v>
      </c>
      <c r="B79">
        <v>28</v>
      </c>
      <c r="C79">
        <v>28</v>
      </c>
      <c r="D79" t="s">
        <v>776</v>
      </c>
      <c r="E79">
        <v>3</v>
      </c>
      <c r="F79">
        <v>44.612273410067999</v>
      </c>
      <c r="G79">
        <v>9.9969456017453204</v>
      </c>
      <c r="H79">
        <v>3.30623494869729</v>
      </c>
      <c r="I79">
        <v>2.0864497491868401</v>
      </c>
      <c r="J79">
        <v>240.214367742604</v>
      </c>
      <c r="K79">
        <v>67.409625062125698</v>
      </c>
      <c r="L79">
        <v>10.4386918348502</v>
      </c>
      <c r="M79">
        <v>4.0356752841428296</v>
      </c>
      <c r="N79">
        <v>2.97847437167579</v>
      </c>
      <c r="O79">
        <v>289.190005530424</v>
      </c>
      <c r="P79">
        <v>0.18571858889752699</v>
      </c>
      <c r="Q79">
        <v>4.1616767954768201E-2</v>
      </c>
      <c r="R79">
        <v>1.37636852440068E-2</v>
      </c>
      <c r="S79">
        <v>8.6857824900071108E-3</v>
      </c>
      <c r="T79">
        <v>0.23309804548219001</v>
      </c>
      <c r="U79">
        <v>3.6096309122799201E-2</v>
      </c>
      <c r="V79">
        <v>1.3955099439694399E-2</v>
      </c>
      <c r="W79">
        <v>1.0299368286302801E-2</v>
      </c>
    </row>
    <row r="80" spans="1:23">
      <c r="A80">
        <v>43</v>
      </c>
      <c r="B80">
        <v>29</v>
      </c>
      <c r="C80">
        <v>29</v>
      </c>
      <c r="D80" t="s">
        <v>778</v>
      </c>
      <c r="E80">
        <v>3</v>
      </c>
      <c r="F80">
        <v>39.017956652551902</v>
      </c>
      <c r="G80">
        <v>9.8984425449718003</v>
      </c>
      <c r="H80">
        <v>4.24246381123214</v>
      </c>
      <c r="I80">
        <v>2.52911080726996</v>
      </c>
      <c r="J80">
        <v>187.96575509522</v>
      </c>
      <c r="K80">
        <v>54.0389235391822</v>
      </c>
      <c r="L80">
        <v>9.9481767340118292</v>
      </c>
      <c r="M80">
        <v>3.6791520873839598</v>
      </c>
      <c r="N80">
        <v>2.7208292385294999</v>
      </c>
      <c r="O80">
        <v>241.264320556705</v>
      </c>
      <c r="P80">
        <v>0.20758013411956899</v>
      </c>
      <c r="Q80">
        <v>5.2660882509994497E-2</v>
      </c>
      <c r="R80">
        <v>2.2570408152713699E-2</v>
      </c>
      <c r="S80">
        <v>1.34551679692333E-2</v>
      </c>
      <c r="T80">
        <v>0.223982242440532</v>
      </c>
      <c r="U80">
        <v>4.1233518122600697E-2</v>
      </c>
      <c r="V80">
        <v>1.52494661410958E-2</v>
      </c>
      <c r="W80">
        <v>1.1277379233909601E-2</v>
      </c>
    </row>
    <row r="81" spans="1:23">
      <c r="B81">
        <v>81</v>
      </c>
      <c r="C81">
        <v>82</v>
      </c>
      <c r="D81" t="s">
        <v>780</v>
      </c>
      <c r="E81">
        <v>2</v>
      </c>
      <c r="F81">
        <v>54.498873446810599</v>
      </c>
      <c r="G81">
        <v>39.4250678698874</v>
      </c>
      <c r="H81">
        <v>15.099740278862299</v>
      </c>
      <c r="I81">
        <v>6.1335414533941002</v>
      </c>
      <c r="J81">
        <v>265.393819585382</v>
      </c>
      <c r="K81">
        <v>95.1074145629903</v>
      </c>
      <c r="L81">
        <v>22.218424585889501</v>
      </c>
      <c r="M81">
        <v>8.1712226050925398</v>
      </c>
      <c r="N81">
        <v>4.4455009568842501</v>
      </c>
      <c r="O81">
        <v>437.364442700317</v>
      </c>
      <c r="P81">
        <v>0.20535095177405699</v>
      </c>
      <c r="Q81">
        <v>0.14855307456473599</v>
      </c>
      <c r="R81">
        <v>5.6895598783921197E-2</v>
      </c>
      <c r="S81">
        <v>2.3111093781220601E-2</v>
      </c>
      <c r="T81">
        <v>0.21745575377776699</v>
      </c>
      <c r="U81">
        <v>5.0800710841309903E-2</v>
      </c>
      <c r="V81">
        <v>1.86828690385594E-2</v>
      </c>
      <c r="W81">
        <v>1.0164294402712401E-2</v>
      </c>
    </row>
    <row r="82" spans="1:23">
      <c r="A82">
        <v>54</v>
      </c>
      <c r="B82">
        <v>30</v>
      </c>
      <c r="C82">
        <v>30</v>
      </c>
      <c r="D82" t="s">
        <v>782</v>
      </c>
      <c r="E82">
        <v>3</v>
      </c>
      <c r="F82">
        <v>47.799054682691697</v>
      </c>
      <c r="G82">
        <v>9.7741594192296901</v>
      </c>
      <c r="H82">
        <v>3.4566390456667202</v>
      </c>
      <c r="I82">
        <v>1.6656820214727801</v>
      </c>
      <c r="J82">
        <v>210.107400255312</v>
      </c>
      <c r="K82">
        <v>57.145023325616201</v>
      </c>
      <c r="L82">
        <v>13.6091195125521</v>
      </c>
      <c r="M82">
        <v>5.1205445485979402</v>
      </c>
      <c r="N82">
        <v>3.0859899368850199</v>
      </c>
      <c r="O82">
        <v>237.89351422558801</v>
      </c>
      <c r="P82">
        <v>0.227498196753702</v>
      </c>
      <c r="Q82">
        <v>4.6519824658020702E-2</v>
      </c>
      <c r="R82">
        <v>1.64517720054905E-2</v>
      </c>
      <c r="S82">
        <v>7.92776465487997E-3</v>
      </c>
      <c r="T82">
        <v>0.24021261576483</v>
      </c>
      <c r="U82">
        <v>5.7206769830836703E-2</v>
      </c>
      <c r="V82">
        <v>2.1524523546876801E-2</v>
      </c>
      <c r="W82">
        <v>1.2972148261085699E-2</v>
      </c>
    </row>
    <row r="83" spans="1:23">
      <c r="B83">
        <v>82</v>
      </c>
      <c r="C83">
        <v>83</v>
      </c>
      <c r="D83" t="s">
        <v>784</v>
      </c>
      <c r="E83">
        <v>1</v>
      </c>
      <c r="F83">
        <v>43.6690633258562</v>
      </c>
      <c r="G83">
        <v>7.2162861764095103</v>
      </c>
      <c r="H83">
        <v>2.3808570806679001</v>
      </c>
      <c r="I83">
        <v>1.2503396107490701</v>
      </c>
      <c r="J83">
        <v>277.11991732005299</v>
      </c>
      <c r="K83">
        <v>60.989238717024897</v>
      </c>
      <c r="L83">
        <v>8.7296405927602603</v>
      </c>
      <c r="M83">
        <v>2.0527635562176898</v>
      </c>
      <c r="N83">
        <v>1.1552939366686501</v>
      </c>
      <c r="O83">
        <v>347.13196248431598</v>
      </c>
      <c r="P83">
        <v>0.15758182864720499</v>
      </c>
      <c r="Q83">
        <v>2.60403014196747E-2</v>
      </c>
      <c r="R83">
        <v>8.5914325599274199E-3</v>
      </c>
      <c r="S83">
        <v>4.5119081401320702E-3</v>
      </c>
      <c r="T83">
        <v>0.17569467899338301</v>
      </c>
      <c r="U83">
        <v>2.5147902055128901E-2</v>
      </c>
      <c r="V83">
        <v>5.9134962436956304E-3</v>
      </c>
      <c r="W83">
        <v>3.3281116737294198E-3</v>
      </c>
    </row>
    <row r="84" spans="1:23">
      <c r="B84">
        <v>83</v>
      </c>
      <c r="C84">
        <v>84</v>
      </c>
      <c r="D84" t="s">
        <v>786</v>
      </c>
      <c r="E84">
        <v>2</v>
      </c>
      <c r="F84">
        <v>17.690991895666599</v>
      </c>
      <c r="G84">
        <v>6.4884231736726896</v>
      </c>
      <c r="H84">
        <v>3.0178649300594</v>
      </c>
      <c r="I84">
        <v>2.2135694933275998</v>
      </c>
      <c r="J84">
        <v>91.729600538936396</v>
      </c>
      <c r="K84">
        <v>16.2477336558259</v>
      </c>
      <c r="L84">
        <v>5.8673326862939996</v>
      </c>
      <c r="M84">
        <v>3.0474866329916299</v>
      </c>
      <c r="N84">
        <v>1.88490818158662</v>
      </c>
      <c r="O84">
        <v>79.670878863072204</v>
      </c>
      <c r="P84">
        <v>0.19286023041337999</v>
      </c>
      <c r="Q84">
        <v>7.0734235574464899E-2</v>
      </c>
      <c r="R84">
        <v>3.2899575625846202E-2</v>
      </c>
      <c r="S84">
        <v>2.4131463347951701E-2</v>
      </c>
      <c r="T84">
        <v>0.20393566492156201</v>
      </c>
      <c r="U84">
        <v>7.3644633648111302E-2</v>
      </c>
      <c r="V84">
        <v>3.825094785548E-2</v>
      </c>
      <c r="W84">
        <v>2.36586844338212E-2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8133-2EF3-45C1-9186-89AB15081116}">
  <dimension ref="A1:W84"/>
  <sheetViews>
    <sheetView workbookViewId="0">
      <selection activeCell="F2" sqref="F2:W84"/>
    </sheetView>
  </sheetViews>
  <sheetFormatPr defaultRowHeight="14"/>
  <sheetData>
    <row r="1" spans="1:23">
      <c r="A1" t="s">
        <v>814</v>
      </c>
      <c r="B1" t="s">
        <v>815</v>
      </c>
      <c r="C1" t="s">
        <v>816</v>
      </c>
      <c r="D1" t="s">
        <v>817</v>
      </c>
      <c r="E1" t="s">
        <v>818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633</v>
      </c>
      <c r="S1" t="s">
        <v>634</v>
      </c>
      <c r="T1" t="s">
        <v>635</v>
      </c>
      <c r="U1" t="s">
        <v>636</v>
      </c>
      <c r="V1" t="s">
        <v>637</v>
      </c>
      <c r="W1" t="s">
        <v>638</v>
      </c>
    </row>
    <row r="2" spans="1:23">
      <c r="A2">
        <v>67</v>
      </c>
      <c r="B2">
        <v>1</v>
      </c>
      <c r="C2">
        <v>1</v>
      </c>
      <c r="D2" t="s">
        <v>641</v>
      </c>
      <c r="E2">
        <v>3</v>
      </c>
      <c r="F2">
        <v>29.189093708733399</v>
      </c>
      <c r="G2">
        <v>11.6464572283748</v>
      </c>
      <c r="H2">
        <v>5.5414038953293403</v>
      </c>
      <c r="I2">
        <v>2.9094605745000202</v>
      </c>
      <c r="J2">
        <v>116.849607615441</v>
      </c>
      <c r="K2">
        <v>82.034767291223503</v>
      </c>
      <c r="L2">
        <v>17.236474754484899</v>
      </c>
      <c r="M2">
        <v>7.9092952026818502</v>
      </c>
      <c r="N2">
        <v>5.1411908959213797</v>
      </c>
      <c r="O2">
        <v>323.58093794984501</v>
      </c>
      <c r="P2">
        <v>0.249800528255059</v>
      </c>
      <c r="Q2">
        <v>9.9670486414503601E-2</v>
      </c>
      <c r="R2">
        <v>4.7423384711452798E-2</v>
      </c>
      <c r="S2">
        <v>2.4899189940587901E-2</v>
      </c>
      <c r="T2">
        <v>0.25352163143781598</v>
      </c>
      <c r="U2">
        <v>5.3267892922532298E-2</v>
      </c>
      <c r="V2">
        <v>2.4443019582036599E-2</v>
      </c>
      <c r="W2">
        <v>1.5888423244258799E-2</v>
      </c>
    </row>
    <row r="3" spans="1:23">
      <c r="A3">
        <v>80</v>
      </c>
      <c r="B3">
        <v>2</v>
      </c>
      <c r="C3">
        <v>2</v>
      </c>
      <c r="D3" t="s">
        <v>643</v>
      </c>
      <c r="E3">
        <v>3</v>
      </c>
      <c r="F3">
        <v>39.477657151545898</v>
      </c>
      <c r="G3">
        <v>9.3804584611698392</v>
      </c>
      <c r="H3">
        <v>4.02120410041322</v>
      </c>
      <c r="I3">
        <v>2.45289869341625</v>
      </c>
      <c r="J3">
        <v>185.185924713031</v>
      </c>
      <c r="K3">
        <v>19.717187725731801</v>
      </c>
      <c r="L3">
        <v>6.0040424298280799</v>
      </c>
      <c r="M3">
        <v>2.63129515119534</v>
      </c>
      <c r="N3">
        <v>1.49411577143468</v>
      </c>
      <c r="O3">
        <v>114.169164829496</v>
      </c>
      <c r="P3">
        <v>0.21317849730059901</v>
      </c>
      <c r="Q3">
        <v>5.0654273404990402E-2</v>
      </c>
      <c r="R3">
        <v>2.17144154267912E-2</v>
      </c>
      <c r="S3">
        <v>1.32456000488014E-2</v>
      </c>
      <c r="T3">
        <v>0.17270151494213101</v>
      </c>
      <c r="U3">
        <v>5.25890019323055E-2</v>
      </c>
      <c r="V3">
        <v>2.30473364250759E-2</v>
      </c>
      <c r="W3">
        <v>1.30868590802607E-2</v>
      </c>
    </row>
    <row r="4" spans="1:23">
      <c r="A4">
        <v>3</v>
      </c>
      <c r="B4">
        <v>31</v>
      </c>
      <c r="C4">
        <v>31</v>
      </c>
      <c r="D4" t="s">
        <v>819</v>
      </c>
      <c r="E4">
        <v>2</v>
      </c>
      <c r="F4">
        <v>29.459770166253101</v>
      </c>
      <c r="G4">
        <v>10.565283942430501</v>
      </c>
      <c r="H4">
        <v>4.0468868408722702</v>
      </c>
      <c r="I4">
        <v>2.6583679369715001</v>
      </c>
      <c r="J4">
        <v>144.19289822147201</v>
      </c>
      <c r="K4">
        <v>87.785925584920903</v>
      </c>
      <c r="L4">
        <v>15.4735411000038</v>
      </c>
      <c r="M4">
        <v>5.8233644810583103</v>
      </c>
      <c r="N4">
        <v>4.5186638416372098</v>
      </c>
      <c r="O4">
        <v>328.68215503953098</v>
      </c>
      <c r="P4">
        <v>0.204308052127536</v>
      </c>
      <c r="Q4">
        <v>7.3271874501078693E-2</v>
      </c>
      <c r="R4">
        <v>2.8065784728568799E-2</v>
      </c>
      <c r="S4">
        <v>1.84361918635438E-2</v>
      </c>
      <c r="T4">
        <v>0.26708455034427597</v>
      </c>
      <c r="U4">
        <v>4.7077521133274902E-2</v>
      </c>
      <c r="V4">
        <v>1.77173125822968E-2</v>
      </c>
      <c r="W4">
        <v>1.37478222421103E-2</v>
      </c>
    </row>
    <row r="5" spans="1:23">
      <c r="A5">
        <v>9</v>
      </c>
      <c r="B5">
        <v>43</v>
      </c>
      <c r="C5">
        <v>43</v>
      </c>
      <c r="D5" t="s">
        <v>213</v>
      </c>
      <c r="E5">
        <v>1</v>
      </c>
      <c r="F5">
        <v>46.690039680966997</v>
      </c>
      <c r="G5">
        <v>29.072318367313301</v>
      </c>
      <c r="H5">
        <v>9.4397103388212802</v>
      </c>
      <c r="I5">
        <v>4.36405866232497</v>
      </c>
      <c r="J5">
        <v>236.313544945921</v>
      </c>
      <c r="K5">
        <v>51.625468787329503</v>
      </c>
      <c r="L5">
        <v>23.857520371341899</v>
      </c>
      <c r="M5">
        <v>8.4718447300993507</v>
      </c>
      <c r="N5">
        <v>3.8125122658740702</v>
      </c>
      <c r="O5">
        <v>257.42967342602702</v>
      </c>
      <c r="P5">
        <v>0.19757665474339101</v>
      </c>
      <c r="Q5">
        <v>0.12302434197737699</v>
      </c>
      <c r="R5">
        <v>3.9945701550799802E-2</v>
      </c>
      <c r="S5">
        <v>1.8467238783640798E-2</v>
      </c>
      <c r="T5">
        <v>0.200542028043105</v>
      </c>
      <c r="U5">
        <v>9.2675875526825796E-2</v>
      </c>
      <c r="V5">
        <v>3.29093558537795E-2</v>
      </c>
      <c r="W5">
        <v>1.48099176568688E-2</v>
      </c>
    </row>
    <row r="6" spans="1:23">
      <c r="A6">
        <v>81</v>
      </c>
      <c r="B6">
        <v>3</v>
      </c>
      <c r="C6">
        <v>3</v>
      </c>
      <c r="D6" t="s">
        <v>649</v>
      </c>
      <c r="E6">
        <v>3</v>
      </c>
      <c r="F6">
        <v>69.785769478924195</v>
      </c>
      <c r="G6">
        <v>18.3911786380176</v>
      </c>
      <c r="H6">
        <v>8.3822122761999296</v>
      </c>
      <c r="I6">
        <v>5.4442615354774304</v>
      </c>
      <c r="J6">
        <v>384.48383711853302</v>
      </c>
      <c r="K6">
        <v>37.839965344364103</v>
      </c>
      <c r="L6">
        <v>14.987140564292901</v>
      </c>
      <c r="M6">
        <v>7.6989662098596199</v>
      </c>
      <c r="N6">
        <v>4.9356768704016396</v>
      </c>
      <c r="O6">
        <v>247.201524830762</v>
      </c>
      <c r="P6">
        <v>0.18150507964632601</v>
      </c>
      <c r="Q6">
        <v>4.7833424613757697E-2</v>
      </c>
      <c r="R6">
        <v>2.1801208443557402E-2</v>
      </c>
      <c r="S6">
        <v>1.4159923018555899E-2</v>
      </c>
      <c r="T6">
        <v>0.153073349245196</v>
      </c>
      <c r="U6">
        <v>6.0627217306015301E-2</v>
      </c>
      <c r="V6">
        <v>3.11444932029868E-2</v>
      </c>
      <c r="W6">
        <v>1.9966207222146801E-2</v>
      </c>
    </row>
    <row r="7" spans="1:23">
      <c r="A7">
        <v>28</v>
      </c>
      <c r="B7">
        <v>44</v>
      </c>
      <c r="C7">
        <v>44</v>
      </c>
      <c r="D7" t="s">
        <v>651</v>
      </c>
      <c r="E7">
        <v>1</v>
      </c>
      <c r="F7">
        <v>116.779245777128</v>
      </c>
      <c r="G7">
        <v>58.570031465316497</v>
      </c>
      <c r="H7">
        <v>22.757685583347701</v>
      </c>
      <c r="I7">
        <v>10.1194631138933</v>
      </c>
      <c r="J7">
        <v>499.01967172438498</v>
      </c>
      <c r="K7">
        <v>158.04683325146499</v>
      </c>
      <c r="L7">
        <v>66.987753538601197</v>
      </c>
      <c r="M7">
        <v>23.4693342779888</v>
      </c>
      <c r="N7">
        <v>11.990531470444299</v>
      </c>
      <c r="O7">
        <v>768.81564560251695</v>
      </c>
      <c r="P7">
        <v>0.23401731914413701</v>
      </c>
      <c r="Q7">
        <v>0.117370185553858</v>
      </c>
      <c r="R7">
        <v>4.5604786490094598E-2</v>
      </c>
      <c r="S7">
        <v>2.0278685765883799E-2</v>
      </c>
      <c r="T7">
        <v>0.20557182226384599</v>
      </c>
      <c r="U7">
        <v>8.7131100832506095E-2</v>
      </c>
      <c r="V7">
        <v>3.05266085728471E-2</v>
      </c>
      <c r="W7">
        <v>1.5596107518139E-2</v>
      </c>
    </row>
    <row r="8" spans="1:23">
      <c r="A8">
        <v>61</v>
      </c>
      <c r="B8">
        <v>4</v>
      </c>
      <c r="C8">
        <v>4</v>
      </c>
      <c r="D8" t="s">
        <v>204</v>
      </c>
      <c r="E8">
        <v>3</v>
      </c>
      <c r="F8">
        <v>39.658154258072898</v>
      </c>
      <c r="G8">
        <v>8.4886102150801506</v>
      </c>
      <c r="H8">
        <v>4.5364276265164003</v>
      </c>
      <c r="I8">
        <v>3.4424470008516699</v>
      </c>
      <c r="J8">
        <v>197.17683204584</v>
      </c>
      <c r="K8">
        <v>26.1940047841892</v>
      </c>
      <c r="L8">
        <v>5.4324448334801998</v>
      </c>
      <c r="M8">
        <v>2.0407071876143301</v>
      </c>
      <c r="N8">
        <v>1.1603451659483599</v>
      </c>
      <c r="O8">
        <v>120.50236596632701</v>
      </c>
      <c r="P8">
        <v>0.20112988857054601</v>
      </c>
      <c r="Q8">
        <v>4.3050748543858999E-2</v>
      </c>
      <c r="R8">
        <v>2.3006899844408599E-2</v>
      </c>
      <c r="S8">
        <v>1.7458678918481501E-2</v>
      </c>
      <c r="T8">
        <v>0.21737336503010099</v>
      </c>
      <c r="U8">
        <v>4.50816445794784E-2</v>
      </c>
      <c r="V8">
        <v>1.6934996846324001E-2</v>
      </c>
      <c r="W8">
        <v>9.6292313984324591E-3</v>
      </c>
    </row>
    <row r="9" spans="1:23">
      <c r="A9">
        <v>60</v>
      </c>
      <c r="B9">
        <v>5</v>
      </c>
      <c r="C9">
        <v>5</v>
      </c>
      <c r="D9" t="s">
        <v>203</v>
      </c>
      <c r="E9">
        <v>3</v>
      </c>
      <c r="F9">
        <v>29.553482563833398</v>
      </c>
      <c r="G9">
        <v>7.6708924296389096</v>
      </c>
      <c r="H9">
        <v>3.3859401515543999</v>
      </c>
      <c r="I9">
        <v>1.84565620293842</v>
      </c>
      <c r="J9">
        <v>153.77591835330401</v>
      </c>
      <c r="K9">
        <v>65.523030649111305</v>
      </c>
      <c r="L9">
        <v>9.0023893677996298</v>
      </c>
      <c r="M9">
        <v>2.7750686767744299</v>
      </c>
      <c r="N9">
        <v>1.46919494171429</v>
      </c>
      <c r="O9">
        <v>313.519811224514</v>
      </c>
      <c r="P9">
        <v>0.19218537518945999</v>
      </c>
      <c r="Q9">
        <v>4.9883574175865801E-2</v>
      </c>
      <c r="R9">
        <v>2.2018663180896202E-2</v>
      </c>
      <c r="S9">
        <v>1.2002244712322099E-2</v>
      </c>
      <c r="T9">
        <v>0.208991675496352</v>
      </c>
      <c r="U9">
        <v>2.8713941019034898E-2</v>
      </c>
      <c r="V9">
        <v>8.8513343572639101E-3</v>
      </c>
      <c r="W9">
        <v>4.6861311123404196E-3</v>
      </c>
    </row>
    <row r="10" spans="1:23">
      <c r="A10">
        <v>78</v>
      </c>
      <c r="B10">
        <v>32</v>
      </c>
      <c r="C10">
        <v>32</v>
      </c>
      <c r="D10" t="s">
        <v>655</v>
      </c>
      <c r="E10">
        <v>2</v>
      </c>
      <c r="F10">
        <v>44.701304475604601</v>
      </c>
      <c r="G10">
        <v>9.6610990752381802</v>
      </c>
      <c r="H10">
        <v>2.9867176754172799</v>
      </c>
      <c r="I10">
        <v>2.22742121700949</v>
      </c>
      <c r="J10">
        <v>340.42858107527599</v>
      </c>
      <c r="K10">
        <v>50.174273662967202</v>
      </c>
      <c r="L10">
        <v>11.9814383714426</v>
      </c>
      <c r="M10">
        <v>4.9184666692252703</v>
      </c>
      <c r="N10">
        <v>2.6039229813367402</v>
      </c>
      <c r="O10">
        <v>366.60475748245102</v>
      </c>
      <c r="P10">
        <v>0.131308905775218</v>
      </c>
      <c r="Q10">
        <v>2.8379224343392899E-2</v>
      </c>
      <c r="R10">
        <v>8.7734045889550499E-3</v>
      </c>
      <c r="S10">
        <v>6.5429912199908898E-3</v>
      </c>
      <c r="T10">
        <v>0.13686203639997499</v>
      </c>
      <c r="U10">
        <v>3.26821682667775E-2</v>
      </c>
      <c r="V10">
        <v>1.3416265252533499E-2</v>
      </c>
      <c r="W10">
        <v>7.1028073918581996E-3</v>
      </c>
    </row>
    <row r="11" spans="1:23">
      <c r="A11">
        <v>32</v>
      </c>
      <c r="B11">
        <v>6</v>
      </c>
      <c r="C11">
        <v>6</v>
      </c>
      <c r="D11" t="s">
        <v>657</v>
      </c>
      <c r="E11">
        <v>3</v>
      </c>
      <c r="F11">
        <v>41.165516882335602</v>
      </c>
      <c r="G11">
        <v>8.6184856400638399</v>
      </c>
      <c r="H11">
        <v>4.7315601532958302</v>
      </c>
      <c r="I11">
        <v>3.2463027858393598</v>
      </c>
      <c r="J11">
        <v>248.344634388587</v>
      </c>
      <c r="K11">
        <v>57.356464163561299</v>
      </c>
      <c r="L11">
        <v>13.1550259175657</v>
      </c>
      <c r="M11">
        <v>6.1742183670021298</v>
      </c>
      <c r="N11">
        <v>3.50045785942502</v>
      </c>
      <c r="O11">
        <v>296.12265009867599</v>
      </c>
      <c r="P11">
        <v>0.16575963875234601</v>
      </c>
      <c r="Q11">
        <v>3.4703732018540101E-2</v>
      </c>
      <c r="R11">
        <v>1.9052395333383099E-2</v>
      </c>
      <c r="S11">
        <v>1.3071765346699E-2</v>
      </c>
      <c r="T11">
        <v>0.193691580648925</v>
      </c>
      <c r="U11">
        <v>4.4424247564926599E-2</v>
      </c>
      <c r="V11">
        <v>2.0850206375448498E-2</v>
      </c>
      <c r="W11">
        <v>1.18209730267461E-2</v>
      </c>
    </row>
    <row r="12" spans="1:23">
      <c r="A12">
        <v>34</v>
      </c>
      <c r="B12">
        <v>7</v>
      </c>
      <c r="C12">
        <v>7</v>
      </c>
      <c r="D12" t="s">
        <v>659</v>
      </c>
      <c r="E12">
        <v>3</v>
      </c>
      <c r="F12">
        <v>40.945020517090803</v>
      </c>
      <c r="G12">
        <v>9.9519667540163805</v>
      </c>
      <c r="H12">
        <v>4.3854098984157597</v>
      </c>
      <c r="I12">
        <v>3.1827276117884402</v>
      </c>
      <c r="J12">
        <v>181.35241082924</v>
      </c>
      <c r="K12">
        <v>26.863528663390699</v>
      </c>
      <c r="L12">
        <v>15.4665444258068</v>
      </c>
      <c r="M12">
        <v>6.9011767140688303</v>
      </c>
      <c r="N12">
        <v>3.09906054084977</v>
      </c>
      <c r="O12">
        <v>129.491034910183</v>
      </c>
      <c r="P12">
        <v>0.225775992333756</v>
      </c>
      <c r="Q12">
        <v>5.4876396230470102E-2</v>
      </c>
      <c r="R12">
        <v>2.4181701684379699E-2</v>
      </c>
      <c r="S12">
        <v>1.7549960307862999E-2</v>
      </c>
      <c r="T12">
        <v>0.20745473755788199</v>
      </c>
      <c r="U12">
        <v>0.119441044212324</v>
      </c>
      <c r="V12">
        <v>5.32946293838455E-2</v>
      </c>
      <c r="W12">
        <v>2.3932626247055E-2</v>
      </c>
    </row>
    <row r="13" spans="1:23">
      <c r="A13">
        <v>27</v>
      </c>
      <c r="B13">
        <v>8</v>
      </c>
      <c r="C13">
        <v>8</v>
      </c>
      <c r="D13" s="86" t="s">
        <v>665</v>
      </c>
      <c r="E13">
        <v>3</v>
      </c>
      <c r="F13">
        <v>56.874241322582499</v>
      </c>
      <c r="G13">
        <v>20.365393963386101</v>
      </c>
      <c r="H13">
        <v>6.1267181981996703</v>
      </c>
      <c r="I13">
        <v>2.0423496396785499</v>
      </c>
      <c r="J13">
        <v>226.95051362858399</v>
      </c>
      <c r="K13">
        <v>82.700136824311599</v>
      </c>
      <c r="L13">
        <v>23.715019802175899</v>
      </c>
      <c r="M13">
        <v>6.1989265943134102</v>
      </c>
      <c r="N13">
        <v>2.8183720522207301</v>
      </c>
      <c r="O13">
        <v>285.15066692619098</v>
      </c>
      <c r="P13">
        <v>0.25060195023686999</v>
      </c>
      <c r="Q13">
        <v>8.97349542760459E-2</v>
      </c>
      <c r="R13">
        <v>2.69958331454863E-2</v>
      </c>
      <c r="S13">
        <v>8.9990967943829499E-3</v>
      </c>
      <c r="T13">
        <v>0.29002259653040802</v>
      </c>
      <c r="U13">
        <v>8.3166629269411194E-2</v>
      </c>
      <c r="V13">
        <v>2.1739127111766302E-2</v>
      </c>
      <c r="W13">
        <v>9.8837996158369201E-3</v>
      </c>
    </row>
    <row r="14" spans="1:23">
      <c r="A14">
        <v>23</v>
      </c>
      <c r="B14">
        <v>33</v>
      </c>
      <c r="C14">
        <v>33</v>
      </c>
      <c r="D14" t="s">
        <v>661</v>
      </c>
      <c r="E14">
        <v>2</v>
      </c>
      <c r="F14">
        <v>32.922901116143798</v>
      </c>
      <c r="G14">
        <v>8.0398947735249102</v>
      </c>
      <c r="H14">
        <v>3.7305681833015401</v>
      </c>
      <c r="I14">
        <v>2.2426831887322201</v>
      </c>
      <c r="J14">
        <v>176.23633046004801</v>
      </c>
      <c r="K14">
        <v>57.334700886036202</v>
      </c>
      <c r="L14">
        <v>7.7569513411650401</v>
      </c>
      <c r="M14">
        <v>2.8613841582685899</v>
      </c>
      <c r="N14">
        <v>2.2122503338224302</v>
      </c>
      <c r="O14">
        <v>411.08606432141301</v>
      </c>
      <c r="P14">
        <v>0.186811090710989</v>
      </c>
      <c r="Q14">
        <v>4.5619962425100101E-2</v>
      </c>
      <c r="R14">
        <v>2.1167986042169899E-2</v>
      </c>
      <c r="S14">
        <v>1.2725430578802399E-2</v>
      </c>
      <c r="T14">
        <v>0.13947128317443599</v>
      </c>
      <c r="U14">
        <v>1.8869409630729202E-2</v>
      </c>
      <c r="V14">
        <v>6.96054769696932E-3</v>
      </c>
      <c r="W14">
        <v>5.3814773251295396E-3</v>
      </c>
    </row>
    <row r="15" spans="1:23">
      <c r="A15">
        <v>8</v>
      </c>
      <c r="B15">
        <v>45</v>
      </c>
      <c r="C15">
        <v>45</v>
      </c>
      <c r="D15" t="s">
        <v>663</v>
      </c>
      <c r="E15">
        <v>1</v>
      </c>
      <c r="F15">
        <v>61.313002635311101</v>
      </c>
      <c r="G15">
        <v>10.079468336743</v>
      </c>
      <c r="H15">
        <v>5.1062400487970701</v>
      </c>
      <c r="I15">
        <v>3.4061350529881</v>
      </c>
      <c r="J15">
        <v>302.140518292362</v>
      </c>
      <c r="K15">
        <v>38.1069238670662</v>
      </c>
      <c r="L15">
        <v>8.0501015712273194</v>
      </c>
      <c r="M15">
        <v>4.2725202470477903</v>
      </c>
      <c r="N15">
        <v>2.9301197702009798</v>
      </c>
      <c r="O15">
        <v>212.11554147246699</v>
      </c>
      <c r="P15">
        <v>0.20292876632978599</v>
      </c>
      <c r="Q15">
        <v>3.33602007228627E-2</v>
      </c>
      <c r="R15">
        <v>1.6900216090369201E-2</v>
      </c>
      <c r="S15">
        <v>1.1273347488244601E-2</v>
      </c>
      <c r="T15">
        <v>0.17965172944205299</v>
      </c>
      <c r="U15">
        <v>3.7951493395274101E-2</v>
      </c>
      <c r="V15">
        <v>2.0142419633133599E-2</v>
      </c>
      <c r="W15">
        <v>1.38137910586873E-2</v>
      </c>
    </row>
    <row r="16" spans="1:23">
      <c r="A16">
        <v>56</v>
      </c>
      <c r="B16">
        <v>46</v>
      </c>
      <c r="C16">
        <v>46</v>
      </c>
      <c r="D16" t="s">
        <v>667</v>
      </c>
      <c r="E16">
        <v>1</v>
      </c>
      <c r="F16">
        <v>33.284704713896701</v>
      </c>
      <c r="G16">
        <v>10.5854589515077</v>
      </c>
      <c r="H16">
        <v>4.5822303909548596</v>
      </c>
      <c r="I16">
        <v>2.3207883637251201</v>
      </c>
      <c r="J16">
        <v>162.25059971808099</v>
      </c>
      <c r="K16">
        <v>38.492277597304501</v>
      </c>
      <c r="L16">
        <v>11.6229442881657</v>
      </c>
      <c r="M16">
        <v>3.9401274686061201</v>
      </c>
      <c r="N16">
        <v>2.4473038478665901</v>
      </c>
      <c r="O16">
        <v>184.686406531703</v>
      </c>
      <c r="P16">
        <v>0.205143800834824</v>
      </c>
      <c r="Q16">
        <v>6.5241416487214696E-2</v>
      </c>
      <c r="R16">
        <v>2.82416853861664E-2</v>
      </c>
      <c r="S16">
        <v>1.43037274916556E-2</v>
      </c>
      <c r="T16">
        <v>0.20841965751657399</v>
      </c>
      <c r="U16">
        <v>6.2933404284794797E-2</v>
      </c>
      <c r="V16">
        <v>2.13341498305115E-2</v>
      </c>
      <c r="W16">
        <v>1.3251131438558199E-2</v>
      </c>
    </row>
    <row r="17" spans="1:23">
      <c r="A17">
        <v>47</v>
      </c>
      <c r="B17">
        <v>34</v>
      </c>
      <c r="C17">
        <v>34</v>
      </c>
      <c r="D17" t="s">
        <v>672</v>
      </c>
      <c r="E17">
        <v>2</v>
      </c>
      <c r="F17">
        <v>97.682478465175706</v>
      </c>
      <c r="G17">
        <v>30.960515742577499</v>
      </c>
      <c r="H17">
        <v>7.15423537124913</v>
      </c>
      <c r="I17">
        <v>2.7083589237135</v>
      </c>
      <c r="J17">
        <v>335.39348581346502</v>
      </c>
      <c r="K17">
        <v>104.562872944899</v>
      </c>
      <c r="L17">
        <v>39.712209902761899</v>
      </c>
      <c r="M17">
        <v>10.3619050565444</v>
      </c>
      <c r="N17">
        <v>3.4077673335953702</v>
      </c>
      <c r="O17">
        <v>339.95331193045899</v>
      </c>
      <c r="P17">
        <v>0.29124739327675397</v>
      </c>
      <c r="Q17">
        <v>9.2311022879546206E-2</v>
      </c>
      <c r="R17">
        <v>2.1330871569843399E-2</v>
      </c>
      <c r="S17">
        <v>8.0751685356817097E-3</v>
      </c>
      <c r="T17">
        <v>0.30758009784087198</v>
      </c>
      <c r="U17">
        <v>0.116816658373622</v>
      </c>
      <c r="V17">
        <v>3.04803768426413E-2</v>
      </c>
      <c r="W17">
        <v>1.00242216033844E-2</v>
      </c>
    </row>
    <row r="18" spans="1:23">
      <c r="A18">
        <v>69</v>
      </c>
      <c r="B18">
        <v>47</v>
      </c>
      <c r="C18">
        <v>47</v>
      </c>
      <c r="D18" t="s">
        <v>211</v>
      </c>
      <c r="E18">
        <v>1</v>
      </c>
      <c r="F18">
        <v>74.330169429342007</v>
      </c>
      <c r="G18">
        <v>20.612241883754201</v>
      </c>
      <c r="H18">
        <v>6.7137180551524098</v>
      </c>
      <c r="I18">
        <v>3.1429335575400001</v>
      </c>
      <c r="J18">
        <v>366.16462590463198</v>
      </c>
      <c r="K18">
        <v>71.846863582047902</v>
      </c>
      <c r="L18">
        <v>21.326222032194401</v>
      </c>
      <c r="M18">
        <v>7.95070096969408</v>
      </c>
      <c r="N18">
        <v>4.0827600522313299</v>
      </c>
      <c r="O18">
        <v>294.16294006709001</v>
      </c>
      <c r="P18">
        <v>0.20299658724734801</v>
      </c>
      <c r="Q18">
        <v>5.6292280645161903E-2</v>
      </c>
      <c r="R18">
        <v>1.8335244805709399E-2</v>
      </c>
      <c r="S18">
        <v>8.5833893696727007E-3</v>
      </c>
      <c r="T18">
        <v>0.24424172387474</v>
      </c>
      <c r="U18">
        <v>7.2497990492379996E-2</v>
      </c>
      <c r="V18">
        <v>2.7028221052865301E-2</v>
      </c>
      <c r="W18">
        <v>1.38792468259264E-2</v>
      </c>
    </row>
    <row r="19" spans="1:23">
      <c r="B19">
        <v>72</v>
      </c>
      <c r="C19">
        <v>72</v>
      </c>
      <c r="D19" t="s">
        <v>669</v>
      </c>
      <c r="E19">
        <v>3</v>
      </c>
      <c r="F19">
        <v>81.879515851439507</v>
      </c>
      <c r="G19">
        <v>38.450868420961299</v>
      </c>
      <c r="H19">
        <v>12.443155200728899</v>
      </c>
      <c r="I19">
        <v>4.0456122546405</v>
      </c>
      <c r="J19">
        <v>354.26806014114197</v>
      </c>
      <c r="K19">
        <v>99.842963506253</v>
      </c>
      <c r="L19">
        <v>28.522279386375899</v>
      </c>
      <c r="M19">
        <v>9.8489517391915395</v>
      </c>
      <c r="N19">
        <v>4.5750891625342804</v>
      </c>
      <c r="O19">
        <v>481.02966171088701</v>
      </c>
      <c r="P19">
        <v>0.23112305359624699</v>
      </c>
      <c r="Q19">
        <v>0.10853608537456701</v>
      </c>
      <c r="R19">
        <v>3.5123559249940602E-2</v>
      </c>
      <c r="S19">
        <v>1.14196358910502E-2</v>
      </c>
      <c r="T19">
        <v>0.207560929093519</v>
      </c>
      <c r="U19">
        <v>5.9294221659700198E-2</v>
      </c>
      <c r="V19">
        <v>2.04747285316286E-2</v>
      </c>
      <c r="W19">
        <v>9.5110333659300193E-3</v>
      </c>
    </row>
    <row r="20" spans="1:23">
      <c r="A20">
        <v>38</v>
      </c>
      <c r="B20">
        <v>48</v>
      </c>
      <c r="C20">
        <v>48</v>
      </c>
      <c r="D20" t="s">
        <v>674</v>
      </c>
      <c r="E20">
        <v>1</v>
      </c>
      <c r="F20">
        <v>24.768308312885299</v>
      </c>
      <c r="G20">
        <v>15.0768333177153</v>
      </c>
      <c r="H20">
        <v>5.3589934051530497</v>
      </c>
      <c r="I20">
        <v>2.1676837736330699</v>
      </c>
      <c r="J20">
        <v>109.327058334924</v>
      </c>
      <c r="K20">
        <v>47.956100276394899</v>
      </c>
      <c r="L20">
        <v>42.807074981098701</v>
      </c>
      <c r="M20">
        <v>14.166564072914801</v>
      </c>
      <c r="N20">
        <v>4.6035662962824899</v>
      </c>
      <c r="O20">
        <v>212.05231437005801</v>
      </c>
      <c r="P20">
        <v>0.22655240788613901</v>
      </c>
      <c r="Q20">
        <v>0.13790578057563199</v>
      </c>
      <c r="R20">
        <v>4.9017996887246E-2</v>
      </c>
      <c r="S20">
        <v>1.9827513944373799E-2</v>
      </c>
      <c r="T20">
        <v>0.226152213517959</v>
      </c>
      <c r="U20">
        <v>0.201870350287217</v>
      </c>
      <c r="V20">
        <v>6.6806929766360795E-2</v>
      </c>
      <c r="W20">
        <v>2.1709578176301699E-2</v>
      </c>
    </row>
    <row r="21" spans="1:23">
      <c r="A21">
        <v>70</v>
      </c>
      <c r="B21">
        <v>49</v>
      </c>
      <c r="C21">
        <v>49</v>
      </c>
      <c r="D21" t="s">
        <v>212</v>
      </c>
      <c r="E21">
        <v>1</v>
      </c>
      <c r="F21">
        <v>119.34738888017699</v>
      </c>
      <c r="G21">
        <v>21.7144410310447</v>
      </c>
      <c r="H21">
        <v>5.8964786157301896</v>
      </c>
      <c r="I21">
        <v>2.4138188780799101</v>
      </c>
      <c r="J21">
        <v>487.34540174800702</v>
      </c>
      <c r="K21">
        <v>34.532103955655401</v>
      </c>
      <c r="L21">
        <v>14.776654366053201</v>
      </c>
      <c r="M21">
        <v>4.7345151619431496</v>
      </c>
      <c r="N21">
        <v>2.22488663456258</v>
      </c>
      <c r="O21">
        <v>179.998068002319</v>
      </c>
      <c r="P21">
        <v>0.24489281821907399</v>
      </c>
      <c r="Q21">
        <v>4.4556573126902303E-2</v>
      </c>
      <c r="R21">
        <v>1.2099177697339E-2</v>
      </c>
      <c r="S21">
        <v>4.9529940560063702E-3</v>
      </c>
      <c r="T21">
        <v>0.191847081132063</v>
      </c>
      <c r="U21">
        <v>8.2093405390677901E-2</v>
      </c>
      <c r="V21">
        <v>2.6303144330872202E-2</v>
      </c>
      <c r="W21">
        <v>1.23606139735562E-2</v>
      </c>
    </row>
    <row r="22" spans="1:23">
      <c r="B22">
        <v>73</v>
      </c>
      <c r="C22">
        <v>73</v>
      </c>
      <c r="D22" t="s">
        <v>677</v>
      </c>
      <c r="E22">
        <v>1</v>
      </c>
      <c r="F22">
        <v>51.542722721100702</v>
      </c>
      <c r="G22">
        <v>16.760599539708299</v>
      </c>
      <c r="H22">
        <v>6.4544249081609202</v>
      </c>
      <c r="I22">
        <v>3.5308528862393902</v>
      </c>
      <c r="J22">
        <v>247.38020624819501</v>
      </c>
      <c r="K22">
        <v>51.686884789429897</v>
      </c>
      <c r="L22">
        <v>13.9307731128987</v>
      </c>
      <c r="M22">
        <v>5.32513761357108</v>
      </c>
      <c r="N22">
        <v>3.05050317412692</v>
      </c>
      <c r="O22">
        <v>244.708019910969</v>
      </c>
      <c r="P22">
        <v>0.20835427176169499</v>
      </c>
      <c r="Q22">
        <v>6.7752387282321497E-2</v>
      </c>
      <c r="R22">
        <v>2.6091112971606299E-2</v>
      </c>
      <c r="S22">
        <v>1.4272980606608801E-2</v>
      </c>
      <c r="T22">
        <v>0.211218597609653</v>
      </c>
      <c r="U22">
        <v>5.6928142845367603E-2</v>
      </c>
      <c r="V22">
        <v>2.1761189582215099E-2</v>
      </c>
      <c r="W22">
        <v>1.2465889655912299E-2</v>
      </c>
    </row>
    <row r="23" spans="1:23">
      <c r="A23">
        <v>36</v>
      </c>
      <c r="B23">
        <v>50</v>
      </c>
      <c r="C23">
        <v>50</v>
      </c>
      <c r="D23" t="s">
        <v>679</v>
      </c>
      <c r="E23">
        <v>1</v>
      </c>
      <c r="F23">
        <v>56.933036247483301</v>
      </c>
      <c r="G23">
        <v>16.227862410854399</v>
      </c>
      <c r="H23">
        <v>4.4547233697571098</v>
      </c>
      <c r="I23">
        <v>2.0019826053247098</v>
      </c>
      <c r="J23">
        <v>264.44480774490597</v>
      </c>
      <c r="K23">
        <v>64.059064072231607</v>
      </c>
      <c r="L23">
        <v>18.4750959636842</v>
      </c>
      <c r="M23">
        <v>4.1975422209555502</v>
      </c>
      <c r="N23">
        <v>2.4314429009154401</v>
      </c>
      <c r="O23">
        <v>252.794719862508</v>
      </c>
      <c r="P23">
        <v>0.215292698438622</v>
      </c>
      <c r="Q23">
        <v>6.13657819536714E-2</v>
      </c>
      <c r="R23">
        <v>1.6845569431842702E-2</v>
      </c>
      <c r="S23">
        <v>7.5705120565494497E-3</v>
      </c>
      <c r="T23">
        <v>0.25340348923059902</v>
      </c>
      <c r="U23">
        <v>7.3083393410006803E-2</v>
      </c>
      <c r="V23">
        <v>1.6604548636294798E-2</v>
      </c>
      <c r="W23">
        <v>9.6182503425620292E-3</v>
      </c>
    </row>
    <row r="24" spans="1:23">
      <c r="A24">
        <v>15</v>
      </c>
      <c r="B24">
        <v>9</v>
      </c>
      <c r="C24">
        <v>9</v>
      </c>
      <c r="D24" t="s">
        <v>681</v>
      </c>
      <c r="E24">
        <v>3</v>
      </c>
      <c r="F24">
        <v>26.346136615534899</v>
      </c>
      <c r="G24">
        <v>10.5913604318516</v>
      </c>
      <c r="H24">
        <v>4.4280415049948898</v>
      </c>
      <c r="I24">
        <v>2.7852873863494398</v>
      </c>
      <c r="J24">
        <v>158.75806962227</v>
      </c>
      <c r="K24">
        <v>64.207840907335296</v>
      </c>
      <c r="L24">
        <v>12.9354386399063</v>
      </c>
      <c r="M24">
        <v>5.5271542475045603</v>
      </c>
      <c r="N24">
        <v>3.2878808083898399</v>
      </c>
      <c r="O24">
        <v>304.81614666672903</v>
      </c>
      <c r="P24">
        <v>0.165951479998591</v>
      </c>
      <c r="Q24">
        <v>6.6713839851110596E-2</v>
      </c>
      <c r="R24">
        <v>2.7891757033393399E-2</v>
      </c>
      <c r="S24">
        <v>1.7544225581580999E-2</v>
      </c>
      <c r="T24">
        <v>0.21064448720801199</v>
      </c>
      <c r="U24">
        <v>4.24368550726721E-2</v>
      </c>
      <c r="V24">
        <v>1.8132747585539399E-2</v>
      </c>
      <c r="W24">
        <v>1.07864391186096E-2</v>
      </c>
    </row>
    <row r="25" spans="1:23">
      <c r="A25">
        <v>25</v>
      </c>
      <c r="B25">
        <v>10</v>
      </c>
      <c r="C25">
        <v>10</v>
      </c>
      <c r="D25" t="s">
        <v>683</v>
      </c>
      <c r="E25">
        <v>3</v>
      </c>
      <c r="F25">
        <v>41.2425774834172</v>
      </c>
      <c r="G25">
        <v>13.850142565313901</v>
      </c>
      <c r="H25">
        <v>5.9578068819634202</v>
      </c>
      <c r="I25">
        <v>3.3561442728596802</v>
      </c>
      <c r="J25">
        <v>199.47757050073599</v>
      </c>
      <c r="K25">
        <v>58.626095664761003</v>
      </c>
      <c r="L25">
        <v>21.6040929162995</v>
      </c>
      <c r="M25">
        <v>9.5224211186920709</v>
      </c>
      <c r="N25">
        <v>4.9629233483900999</v>
      </c>
      <c r="O25">
        <v>286.00428482314197</v>
      </c>
      <c r="P25">
        <v>0.206752956635117</v>
      </c>
      <c r="Q25">
        <v>6.9432079659616799E-2</v>
      </c>
      <c r="R25">
        <v>2.98670515537557E-2</v>
      </c>
      <c r="S25">
        <v>1.6824669883611299E-2</v>
      </c>
      <c r="T25">
        <v>0.204983277439406</v>
      </c>
      <c r="U25">
        <v>7.5537654723106307E-2</v>
      </c>
      <c r="V25">
        <v>3.3294679919150499E-2</v>
      </c>
      <c r="W25">
        <v>1.7352618865339901E-2</v>
      </c>
    </row>
    <row r="26" spans="1:23">
      <c r="A26">
        <v>57</v>
      </c>
      <c r="B26">
        <v>11</v>
      </c>
      <c r="C26">
        <v>11</v>
      </c>
      <c r="D26" t="s">
        <v>685</v>
      </c>
      <c r="E26">
        <v>3</v>
      </c>
      <c r="F26">
        <v>51.2722975015608</v>
      </c>
      <c r="G26">
        <v>27.7061510419367</v>
      </c>
      <c r="H26">
        <v>8.6682301241420205</v>
      </c>
      <c r="I26">
        <v>3.59428622457225</v>
      </c>
      <c r="J26">
        <v>208.382613818978</v>
      </c>
      <c r="K26">
        <v>49.445825201306498</v>
      </c>
      <c r="L26">
        <v>17.179972171742399</v>
      </c>
      <c r="M26">
        <v>9.1815349209386401</v>
      </c>
      <c r="N26">
        <v>5.4205293215272903</v>
      </c>
      <c r="O26">
        <v>317.62401579215901</v>
      </c>
      <c r="P26">
        <v>0.246048826060417</v>
      </c>
      <c r="Q26">
        <v>0.132958074256641</v>
      </c>
      <c r="R26">
        <v>4.1597664820886199E-2</v>
      </c>
      <c r="S26">
        <v>1.7248493810019101E-2</v>
      </c>
      <c r="T26">
        <v>0.155674076086431</v>
      </c>
      <c r="U26">
        <v>5.4089021350905299E-2</v>
      </c>
      <c r="V26">
        <v>2.89069291503029E-2</v>
      </c>
      <c r="W26">
        <v>1.7065867352657201E-2</v>
      </c>
    </row>
    <row r="27" spans="1:23">
      <c r="A27">
        <v>16</v>
      </c>
      <c r="B27">
        <v>35</v>
      </c>
      <c r="C27">
        <v>35</v>
      </c>
      <c r="D27" t="s">
        <v>688</v>
      </c>
      <c r="E27">
        <v>2</v>
      </c>
      <c r="F27">
        <v>42.493264323207796</v>
      </c>
      <c r="G27">
        <v>27.146736324623301</v>
      </c>
      <c r="H27">
        <v>23.6150558485276</v>
      </c>
      <c r="I27">
        <v>8.08939993596025</v>
      </c>
      <c r="J27">
        <v>213.40391832899101</v>
      </c>
      <c r="K27">
        <v>54.451497998407</v>
      </c>
      <c r="L27">
        <v>28.896822811148301</v>
      </c>
      <c r="M27">
        <v>24.0793711855308</v>
      </c>
      <c r="N27">
        <v>8.9509074512935207</v>
      </c>
      <c r="O27">
        <v>264.59973121060102</v>
      </c>
      <c r="P27">
        <v>0.19912129381663299</v>
      </c>
      <c r="Q27">
        <v>0.12720823749249499</v>
      </c>
      <c r="R27">
        <v>0.11065896087307001</v>
      </c>
      <c r="S27">
        <v>3.7906520176866403E-2</v>
      </c>
      <c r="T27">
        <v>0.205788183341229</v>
      </c>
      <c r="U27">
        <v>0.10920956978655701</v>
      </c>
      <c r="V27">
        <v>9.1003006977227102E-2</v>
      </c>
      <c r="W27">
        <v>3.3828104852341202E-2</v>
      </c>
    </row>
    <row r="28" spans="1:23">
      <c r="A28">
        <v>7</v>
      </c>
      <c r="B28">
        <v>51</v>
      </c>
      <c r="C28">
        <v>51</v>
      </c>
      <c r="D28" t="s">
        <v>690</v>
      </c>
      <c r="E28">
        <v>1</v>
      </c>
      <c r="F28">
        <v>25.0773484163973</v>
      </c>
      <c r="G28">
        <v>9.4415356650726991</v>
      </c>
      <c r="H28">
        <v>4.0138416457850896</v>
      </c>
      <c r="I28">
        <v>1.9672237880722001</v>
      </c>
      <c r="J28">
        <v>135.31994278566299</v>
      </c>
      <c r="K28">
        <v>55.847744985643999</v>
      </c>
      <c r="L28">
        <v>14.426620882411299</v>
      </c>
      <c r="M28">
        <v>5.7938645091677099</v>
      </c>
      <c r="N28">
        <v>3.26466894977019</v>
      </c>
      <c r="O28">
        <v>312.87463664430499</v>
      </c>
      <c r="P28">
        <v>0.185318940432291</v>
      </c>
      <c r="Q28">
        <v>6.9771945440646604E-2</v>
      </c>
      <c r="R28">
        <v>2.9661863308224401E-2</v>
      </c>
      <c r="S28">
        <v>1.4537574784436199E-2</v>
      </c>
      <c r="T28">
        <v>0.17849879294988999</v>
      </c>
      <c r="U28">
        <v>4.6109908547212697E-2</v>
      </c>
      <c r="V28">
        <v>1.8518166161722201E-2</v>
      </c>
      <c r="W28">
        <v>1.0434431454032099E-2</v>
      </c>
    </row>
    <row r="29" spans="1:23">
      <c r="A29">
        <v>13</v>
      </c>
      <c r="B29">
        <v>39</v>
      </c>
      <c r="C29">
        <v>39</v>
      </c>
      <c r="D29" t="s">
        <v>81</v>
      </c>
      <c r="E29">
        <v>2</v>
      </c>
      <c r="F29">
        <v>28.435551018715799</v>
      </c>
      <c r="G29">
        <v>7.9469517928392897</v>
      </c>
      <c r="H29">
        <v>2.9113193724327502</v>
      </c>
      <c r="I29">
        <v>1.4098671687633999</v>
      </c>
      <c r="J29">
        <v>144.568336361268</v>
      </c>
      <c r="K29">
        <v>35.664701122066099</v>
      </c>
      <c r="L29">
        <v>11.8774643139921</v>
      </c>
      <c r="M29">
        <v>4.1072804491405002</v>
      </c>
      <c r="N29">
        <v>2.3803431720073598</v>
      </c>
      <c r="O29">
        <v>160.72141200303199</v>
      </c>
      <c r="P29">
        <v>0.19669280102703099</v>
      </c>
      <c r="Q29">
        <v>5.4970209887317899E-2</v>
      </c>
      <c r="R29">
        <v>2.0138015320018101E-2</v>
      </c>
      <c r="S29">
        <v>9.7522542228073005E-3</v>
      </c>
      <c r="T29">
        <v>0.22190385635358501</v>
      </c>
      <c r="U29">
        <v>7.3900945530319395E-2</v>
      </c>
      <c r="V29">
        <v>2.55552785279352E-2</v>
      </c>
      <c r="W29">
        <v>1.4810367469659001E-2</v>
      </c>
    </row>
    <row r="30" spans="1:23">
      <c r="A30">
        <v>68</v>
      </c>
      <c r="B30">
        <v>54</v>
      </c>
      <c r="C30">
        <v>54</v>
      </c>
      <c r="D30" t="s">
        <v>210</v>
      </c>
      <c r="E30">
        <v>1</v>
      </c>
      <c r="F30">
        <v>16.454568663172001</v>
      </c>
      <c r="G30">
        <v>5.13764136262406</v>
      </c>
      <c r="H30">
        <v>1.92518875074314</v>
      </c>
      <c r="I30">
        <v>0.94040157403830305</v>
      </c>
      <c r="J30">
        <v>79.986965236593804</v>
      </c>
      <c r="K30">
        <v>68.101432214977905</v>
      </c>
      <c r="L30">
        <v>9.0947913170304506</v>
      </c>
      <c r="M30">
        <v>2.9180530080984202</v>
      </c>
      <c r="N30">
        <v>1.9000403760581599</v>
      </c>
      <c r="O30">
        <v>327.32058997090701</v>
      </c>
      <c r="P30">
        <v>0.20571562647114999</v>
      </c>
      <c r="Q30">
        <v>6.4230982478550205E-2</v>
      </c>
      <c r="R30">
        <v>2.4068781020115199E-2</v>
      </c>
      <c r="S30">
        <v>1.17569352863518E-2</v>
      </c>
      <c r="T30">
        <v>0.20805728176474</v>
      </c>
      <c r="U30">
        <v>2.7785576574449002E-2</v>
      </c>
      <c r="V30">
        <v>8.9149692915981293E-3</v>
      </c>
      <c r="W30">
        <v>5.8048299870993199E-3</v>
      </c>
    </row>
    <row r="31" spans="1:23">
      <c r="A31">
        <v>12</v>
      </c>
      <c r="B31">
        <v>12</v>
      </c>
      <c r="C31">
        <v>12</v>
      </c>
      <c r="D31" t="s">
        <v>0</v>
      </c>
      <c r="E31">
        <v>3</v>
      </c>
      <c r="F31">
        <v>38.828950604092</v>
      </c>
      <c r="G31">
        <v>19.2426121855048</v>
      </c>
      <c r="H31">
        <v>7.5614911474481197</v>
      </c>
      <c r="I31">
        <v>3.75013147944559</v>
      </c>
      <c r="J31">
        <v>204.466384532988</v>
      </c>
      <c r="K31">
        <v>59.619303021817302</v>
      </c>
      <c r="L31">
        <v>21.192011771054801</v>
      </c>
      <c r="M31">
        <v>8.5938482809859202</v>
      </c>
      <c r="N31">
        <v>4.3620712361043203</v>
      </c>
      <c r="O31">
        <v>299.25060667314699</v>
      </c>
      <c r="P31">
        <v>0.18990383525770901</v>
      </c>
      <c r="Q31">
        <v>9.4111373023276795E-2</v>
      </c>
      <c r="R31">
        <v>3.6981585822623002E-2</v>
      </c>
      <c r="S31">
        <v>1.83410661268897E-2</v>
      </c>
      <c r="T31">
        <v>0.19922867888096099</v>
      </c>
      <c r="U31">
        <v>7.0816938373667204E-2</v>
      </c>
      <c r="V31">
        <v>2.8717897606043801E-2</v>
      </c>
      <c r="W31">
        <v>1.45766496001418E-2</v>
      </c>
    </row>
    <row r="32" spans="1:23">
      <c r="A32">
        <v>18</v>
      </c>
      <c r="B32">
        <v>52</v>
      </c>
      <c r="C32">
        <v>52</v>
      </c>
      <c r="D32" t="s">
        <v>692</v>
      </c>
      <c r="E32">
        <v>1</v>
      </c>
      <c r="F32">
        <v>25.022854756821701</v>
      </c>
      <c r="G32">
        <v>9.5901241226785192</v>
      </c>
      <c r="H32">
        <v>4.90962537721287</v>
      </c>
      <c r="I32">
        <v>2.9905643320525401</v>
      </c>
      <c r="J32">
        <v>95.644569221248403</v>
      </c>
      <c r="K32">
        <v>30.7788228298093</v>
      </c>
      <c r="L32">
        <v>9.57466880757657</v>
      </c>
      <c r="M32">
        <v>3.5732731872903898</v>
      </c>
      <c r="N32">
        <v>2.1976529983263</v>
      </c>
      <c r="O32">
        <v>107.52036384132199</v>
      </c>
      <c r="P32">
        <v>0.261623372456599</v>
      </c>
      <c r="Q32">
        <v>0.100268360250484</v>
      </c>
      <c r="R32">
        <v>5.1331982748082199E-2</v>
      </c>
      <c r="S32">
        <v>3.1267476621016102E-2</v>
      </c>
      <c r="T32">
        <v>0.28626040435682198</v>
      </c>
      <c r="U32">
        <v>8.90498177787684E-2</v>
      </c>
      <c r="V32">
        <v>3.3233455130079498E-2</v>
      </c>
      <c r="W32">
        <v>2.0439411845458302E-2</v>
      </c>
    </row>
    <row r="33" spans="1:23">
      <c r="A33">
        <v>66</v>
      </c>
      <c r="B33">
        <v>13</v>
      </c>
      <c r="C33">
        <v>13</v>
      </c>
      <c r="D33" t="s">
        <v>694</v>
      </c>
      <c r="E33">
        <v>3</v>
      </c>
      <c r="F33">
        <v>43.934191030392903</v>
      </c>
      <c r="G33">
        <v>8.6262477200513707</v>
      </c>
      <c r="H33">
        <v>3.91219083547734</v>
      </c>
      <c r="I33">
        <v>1.76004172040261</v>
      </c>
      <c r="J33">
        <v>268.71991401580999</v>
      </c>
      <c r="K33">
        <v>49.817762569471903</v>
      </c>
      <c r="L33">
        <v>9.4856537284740607</v>
      </c>
      <c r="M33">
        <v>4.6592017657361096</v>
      </c>
      <c r="N33">
        <v>2.2195582358140902</v>
      </c>
      <c r="O33">
        <v>236.65738287683601</v>
      </c>
      <c r="P33">
        <v>0.16349436249003901</v>
      </c>
      <c r="Q33">
        <v>3.2101259602010199E-2</v>
      </c>
      <c r="R33">
        <v>1.45586189613293E-2</v>
      </c>
      <c r="S33">
        <v>6.5497256757050797E-3</v>
      </c>
      <c r="T33">
        <v>0.21050584589367599</v>
      </c>
      <c r="U33">
        <v>4.00817993217253E-2</v>
      </c>
      <c r="V33">
        <v>1.9687540312912599E-2</v>
      </c>
      <c r="W33">
        <v>9.3787829850599594E-3</v>
      </c>
    </row>
    <row r="34" spans="1:23">
      <c r="A34">
        <v>49</v>
      </c>
      <c r="B34">
        <v>36</v>
      </c>
      <c r="C34">
        <v>36</v>
      </c>
      <c r="D34" t="s">
        <v>696</v>
      </c>
      <c r="E34">
        <v>2</v>
      </c>
      <c r="F34">
        <v>7.9093400318292497</v>
      </c>
      <c r="G34">
        <v>4.4617122441362502</v>
      </c>
      <c r="H34">
        <v>1.78283034865631</v>
      </c>
      <c r="I34">
        <v>0.76218675806797098</v>
      </c>
      <c r="J34">
        <v>77.629572005675797</v>
      </c>
      <c r="K34">
        <v>66.577447544212902</v>
      </c>
      <c r="L34">
        <v>17.8221597716833</v>
      </c>
      <c r="M34">
        <v>6.4609320327582198</v>
      </c>
      <c r="N34">
        <v>3.86624044599936</v>
      </c>
      <c r="O34">
        <v>322.879720415186</v>
      </c>
      <c r="P34">
        <v>0.101885658100124</v>
      </c>
      <c r="Q34">
        <v>5.7474389319189398E-2</v>
      </c>
      <c r="R34">
        <v>2.2965866004336099E-2</v>
      </c>
      <c r="S34">
        <v>9.81825274023467E-3</v>
      </c>
      <c r="T34">
        <v>0.206198913510585</v>
      </c>
      <c r="U34">
        <v>5.5197519834215801E-2</v>
      </c>
      <c r="V34">
        <v>2.0010337051984E-2</v>
      </c>
      <c r="W34">
        <v>1.19742436627108E-2</v>
      </c>
    </row>
    <row r="35" spans="1:23">
      <c r="A35">
        <v>29</v>
      </c>
      <c r="B35">
        <v>53</v>
      </c>
      <c r="C35">
        <v>53</v>
      </c>
      <c r="D35" t="s">
        <v>698</v>
      </c>
      <c r="E35">
        <v>1</v>
      </c>
      <c r="F35">
        <v>54.8306906002963</v>
      </c>
      <c r="G35">
        <v>19.503818773842401</v>
      </c>
      <c r="H35">
        <v>8.6212159652208804</v>
      </c>
      <c r="I35">
        <v>4.0116126227547904</v>
      </c>
      <c r="J35">
        <v>283.27665312200401</v>
      </c>
      <c r="K35">
        <v>88.139683047219606</v>
      </c>
      <c r="L35">
        <v>38.6186162708278</v>
      </c>
      <c r="M35">
        <v>15.048331994622901</v>
      </c>
      <c r="N35">
        <v>6.84398847133932</v>
      </c>
      <c r="O35">
        <v>405.95850951115699</v>
      </c>
      <c r="P35">
        <v>0.19355880548575</v>
      </c>
      <c r="Q35">
        <v>6.8850780884658E-2</v>
      </c>
      <c r="R35">
        <v>3.04339092904625E-2</v>
      </c>
      <c r="S35">
        <v>1.41614657563292E-2</v>
      </c>
      <c r="T35">
        <v>0.21711500309072099</v>
      </c>
      <c r="U35">
        <v>9.5129466105615401E-2</v>
      </c>
      <c r="V35">
        <v>3.7068645297628197E-2</v>
      </c>
      <c r="W35">
        <v>1.68588373220225E-2</v>
      </c>
    </row>
    <row r="36" spans="1:23">
      <c r="A36">
        <v>30</v>
      </c>
      <c r="B36">
        <v>37</v>
      </c>
      <c r="C36">
        <v>37</v>
      </c>
      <c r="D36" t="s">
        <v>700</v>
      </c>
      <c r="E36">
        <v>2</v>
      </c>
      <c r="F36">
        <v>87.812911597315704</v>
      </c>
      <c r="G36">
        <v>18.944552582385001</v>
      </c>
      <c r="H36">
        <v>5.7986383957982497</v>
      </c>
      <c r="I36">
        <v>3.4435655671472798</v>
      </c>
      <c r="J36">
        <v>358.133028534093</v>
      </c>
      <c r="K36">
        <v>79.025002216188796</v>
      </c>
      <c r="L36">
        <v>14.4356418046955</v>
      </c>
      <c r="M36">
        <v>4.21416920305166</v>
      </c>
      <c r="N36">
        <v>2.4051981383948</v>
      </c>
      <c r="O36">
        <v>359.78019467280802</v>
      </c>
      <c r="P36">
        <v>0.24519635052022601</v>
      </c>
      <c r="Q36">
        <v>5.2898088344235303E-2</v>
      </c>
      <c r="R36">
        <v>1.61912974615415E-2</v>
      </c>
      <c r="S36">
        <v>9.6153252919521405E-3</v>
      </c>
      <c r="T36">
        <v>0.21964800560535599</v>
      </c>
      <c r="U36">
        <v>4.0123503234588999E-2</v>
      </c>
      <c r="V36">
        <v>1.1713177282824399E-2</v>
      </c>
      <c r="W36">
        <v>6.6851877174121397E-3</v>
      </c>
    </row>
    <row r="37" spans="1:23">
      <c r="A37">
        <v>19</v>
      </c>
      <c r="B37">
        <v>38</v>
      </c>
      <c r="C37">
        <v>38</v>
      </c>
      <c r="D37" t="s">
        <v>702</v>
      </c>
      <c r="E37">
        <v>2</v>
      </c>
      <c r="F37">
        <v>26.619463774119101</v>
      </c>
      <c r="G37">
        <v>7.5819574956330502</v>
      </c>
      <c r="H37">
        <v>2.2341796768216202</v>
      </c>
      <c r="I37">
        <v>0.88075796099114001</v>
      </c>
      <c r="J37">
        <v>107.66721892959001</v>
      </c>
      <c r="K37">
        <v>28.032715378316301</v>
      </c>
      <c r="L37">
        <v>8.8003196710827201</v>
      </c>
      <c r="M37">
        <v>2.1596878032976399</v>
      </c>
      <c r="N37">
        <v>1.1416223800083301</v>
      </c>
      <c r="O37">
        <v>160.26304591876399</v>
      </c>
      <c r="P37">
        <v>0.24723833343858601</v>
      </c>
      <c r="Q37">
        <v>7.0420296641927504E-2</v>
      </c>
      <c r="R37">
        <v>2.0750788392544E-2</v>
      </c>
      <c r="S37">
        <v>8.1803725381550292E-3</v>
      </c>
      <c r="T37">
        <v>0.174916901258234</v>
      </c>
      <c r="U37">
        <v>5.4911721043561797E-2</v>
      </c>
      <c r="V37">
        <v>1.3475893902530499E-2</v>
      </c>
      <c r="W37">
        <v>7.1234286947660297E-3</v>
      </c>
    </row>
    <row r="38" spans="1:23">
      <c r="B38">
        <v>74</v>
      </c>
      <c r="C38">
        <v>74</v>
      </c>
      <c r="D38" t="s">
        <v>706</v>
      </c>
      <c r="E38">
        <v>2</v>
      </c>
      <c r="F38">
        <v>91.250565271501799</v>
      </c>
      <c r="G38">
        <v>23.1503932222505</v>
      </c>
      <c r="H38">
        <v>5.63068516183524</v>
      </c>
      <c r="I38">
        <v>2.1382738645202002</v>
      </c>
      <c r="J38">
        <v>405.70798101443802</v>
      </c>
      <c r="K38">
        <v>83.945141862763705</v>
      </c>
      <c r="L38">
        <v>13.960238289061399</v>
      </c>
      <c r="M38">
        <v>4.0836578685000298</v>
      </c>
      <c r="N38">
        <v>1.8214704002897899</v>
      </c>
      <c r="O38">
        <v>303.925484211813</v>
      </c>
      <c r="P38">
        <v>0.22491686025830099</v>
      </c>
      <c r="Q38">
        <v>5.7061715089668397E-2</v>
      </c>
      <c r="R38">
        <v>1.387866501358E-2</v>
      </c>
      <c r="S38">
        <v>5.2704752299267896E-3</v>
      </c>
      <c r="T38">
        <v>0.27620303733483698</v>
      </c>
      <c r="U38">
        <v>4.5933095493012999E-2</v>
      </c>
      <c r="V38">
        <v>1.34363785882925E-2</v>
      </c>
      <c r="W38">
        <v>5.9931479751147102E-3</v>
      </c>
    </row>
    <row r="39" spans="1:23">
      <c r="A39">
        <v>11</v>
      </c>
      <c r="B39">
        <v>40</v>
      </c>
      <c r="C39">
        <v>40</v>
      </c>
      <c r="D39" t="s">
        <v>708</v>
      </c>
      <c r="E39">
        <v>2</v>
      </c>
      <c r="F39">
        <v>31.972281205672399</v>
      </c>
      <c r="G39">
        <v>11.786736150466099</v>
      </c>
      <c r="H39">
        <v>3.8556669473409499</v>
      </c>
      <c r="I39">
        <v>1.85586041077038</v>
      </c>
      <c r="J39">
        <v>144.929186699779</v>
      </c>
      <c r="K39">
        <v>89.456437826823006</v>
      </c>
      <c r="L39">
        <v>15.210353880662201</v>
      </c>
      <c r="M39">
        <v>6.2966861357511599</v>
      </c>
      <c r="N39">
        <v>3.0981773289080001</v>
      </c>
      <c r="O39">
        <v>353.76439010649801</v>
      </c>
      <c r="P39">
        <v>0.22060622800501201</v>
      </c>
      <c r="Q39">
        <v>8.1327553261458102E-2</v>
      </c>
      <c r="R39">
        <v>2.6603798966511698E-2</v>
      </c>
      <c r="S39">
        <v>1.2805291004736E-2</v>
      </c>
      <c r="T39">
        <v>0.25287010317769099</v>
      </c>
      <c r="U39">
        <v>4.2995717788563301E-2</v>
      </c>
      <c r="V39">
        <v>1.77990954201343E-2</v>
      </c>
      <c r="W39">
        <v>8.7577422023039798E-3</v>
      </c>
    </row>
    <row r="40" spans="1:23">
      <c r="B40">
        <v>75</v>
      </c>
      <c r="C40">
        <v>75</v>
      </c>
      <c r="D40" t="s">
        <v>512</v>
      </c>
      <c r="E40">
        <v>1</v>
      </c>
      <c r="F40">
        <v>66.942170626049801</v>
      </c>
      <c r="G40">
        <v>13.8618643611381</v>
      </c>
      <c r="H40">
        <v>5.4152625905253302</v>
      </c>
      <c r="I40">
        <v>3.0797388890613702</v>
      </c>
      <c r="J40">
        <v>254.659047923212</v>
      </c>
      <c r="K40">
        <v>61.6914588881179</v>
      </c>
      <c r="L40">
        <v>11.335425295433801</v>
      </c>
      <c r="M40">
        <v>5.29501955764737</v>
      </c>
      <c r="N40">
        <v>4.0172042950819398</v>
      </c>
      <c r="O40">
        <v>270.38753217367201</v>
      </c>
      <c r="P40">
        <v>0.26286979069455702</v>
      </c>
      <c r="Q40">
        <v>5.4433033007010599E-2</v>
      </c>
      <c r="R40">
        <v>2.1264756287623501E-2</v>
      </c>
      <c r="S40">
        <v>1.20935773308554E-2</v>
      </c>
      <c r="T40">
        <v>0.228159406582745</v>
      </c>
      <c r="U40">
        <v>4.1922884551322197E-2</v>
      </c>
      <c r="V40">
        <v>1.9583075872915402E-2</v>
      </c>
      <c r="W40">
        <v>1.4857209808408101E-2</v>
      </c>
    </row>
    <row r="41" spans="1:23">
      <c r="A41">
        <v>73</v>
      </c>
      <c r="B41">
        <v>55</v>
      </c>
      <c r="C41">
        <v>55</v>
      </c>
      <c r="D41" t="s">
        <v>217</v>
      </c>
      <c r="E41">
        <v>1</v>
      </c>
      <c r="F41">
        <v>32.544489592229098</v>
      </c>
      <c r="G41">
        <v>13.1279439911699</v>
      </c>
      <c r="H41">
        <v>4.7424906719136599</v>
      </c>
      <c r="I41">
        <v>3.0783821706420702</v>
      </c>
      <c r="J41">
        <v>168.89668527032299</v>
      </c>
      <c r="K41">
        <v>100.32624759526</v>
      </c>
      <c r="L41">
        <v>54.287301406273897</v>
      </c>
      <c r="M41">
        <v>13.1046210479011</v>
      </c>
      <c r="N41">
        <v>4.17289196728363</v>
      </c>
      <c r="O41">
        <v>423.17152003816199</v>
      </c>
      <c r="P41">
        <v>0.19268874069459099</v>
      </c>
      <c r="Q41">
        <v>7.7727659190933204E-2</v>
      </c>
      <c r="R41">
        <v>2.8079240657228999E-2</v>
      </c>
      <c r="S41">
        <v>1.8226421470113899E-2</v>
      </c>
      <c r="T41">
        <v>0.23708175726526301</v>
      </c>
      <c r="U41">
        <v>0.12828675569040701</v>
      </c>
      <c r="V41">
        <v>3.09676346998006E-2</v>
      </c>
      <c r="W41">
        <v>9.8609943478883497E-3</v>
      </c>
    </row>
    <row r="42" spans="1:23">
      <c r="A42">
        <v>20</v>
      </c>
      <c r="B42">
        <v>56</v>
      </c>
      <c r="C42">
        <v>56</v>
      </c>
      <c r="D42" t="s">
        <v>712</v>
      </c>
      <c r="E42">
        <v>1</v>
      </c>
      <c r="F42">
        <v>60.8477060062215</v>
      </c>
      <c r="G42">
        <v>35.145394961476697</v>
      </c>
      <c r="H42">
        <v>11.7851563153889</v>
      </c>
      <c r="I42">
        <v>4.0050247960813703</v>
      </c>
      <c r="J42">
        <v>329.93939909598498</v>
      </c>
      <c r="K42">
        <v>129.66403781445399</v>
      </c>
      <c r="L42">
        <v>28.463594385835599</v>
      </c>
      <c r="M42">
        <v>10.822296154354399</v>
      </c>
      <c r="N42">
        <v>3.6051827421859102</v>
      </c>
      <c r="O42">
        <v>514.14825113832399</v>
      </c>
      <c r="P42">
        <v>0.18442085477800099</v>
      </c>
      <c r="Q42">
        <v>0.10652075822946</v>
      </c>
      <c r="R42">
        <v>3.5719154328581498E-2</v>
      </c>
      <c r="S42">
        <v>1.21386679100917E-2</v>
      </c>
      <c r="T42">
        <v>0.252191926214623</v>
      </c>
      <c r="U42">
        <v>5.5360675297090198E-2</v>
      </c>
      <c r="V42">
        <v>2.1048979803770199E-2</v>
      </c>
      <c r="W42">
        <v>7.0119517750066003E-3</v>
      </c>
    </row>
    <row r="43" spans="1:23">
      <c r="A43">
        <v>10</v>
      </c>
      <c r="B43">
        <v>14</v>
      </c>
      <c r="C43">
        <v>14</v>
      </c>
      <c r="D43" t="s">
        <v>714</v>
      </c>
      <c r="E43">
        <v>3</v>
      </c>
      <c r="F43">
        <v>36.349594342956301</v>
      </c>
      <c r="G43">
        <v>10.744551187315899</v>
      </c>
      <c r="H43">
        <v>3.5586938650229398</v>
      </c>
      <c r="I43">
        <v>2.0408461675910199</v>
      </c>
      <c r="J43">
        <v>134.87692764055501</v>
      </c>
      <c r="K43">
        <v>76.116870580478505</v>
      </c>
      <c r="L43">
        <v>11.6343394734317</v>
      </c>
      <c r="M43">
        <v>4.0765611950385496</v>
      </c>
      <c r="N43">
        <v>2.4565621135613802</v>
      </c>
      <c r="O43">
        <v>329.180778049293</v>
      </c>
      <c r="P43">
        <v>0.26950194506081399</v>
      </c>
      <c r="Q43">
        <v>7.9661891587195194E-2</v>
      </c>
      <c r="R43">
        <v>2.63847488764484E-2</v>
      </c>
      <c r="S43">
        <v>1.5131173309566001E-2</v>
      </c>
      <c r="T43">
        <v>0.23123121292665699</v>
      </c>
      <c r="U43">
        <v>3.5343313611372398E-2</v>
      </c>
      <c r="V43">
        <v>1.2383958805845301E-2</v>
      </c>
      <c r="W43">
        <v>7.4626535854214497E-3</v>
      </c>
    </row>
    <row r="44" spans="1:23">
      <c r="A44">
        <v>37</v>
      </c>
      <c r="B44">
        <v>57</v>
      </c>
      <c r="C44">
        <v>57</v>
      </c>
      <c r="D44" t="s">
        <v>718</v>
      </c>
      <c r="E44">
        <v>1</v>
      </c>
      <c r="F44">
        <v>55.017662935199702</v>
      </c>
      <c r="G44">
        <v>13.406476544115099</v>
      </c>
      <c r="H44">
        <v>8.0119092116409298</v>
      </c>
      <c r="I44">
        <v>4.3238840512683696</v>
      </c>
      <c r="J44">
        <v>262.16078852727901</v>
      </c>
      <c r="K44">
        <v>45.824265080287702</v>
      </c>
      <c r="L44">
        <v>11.490550132194601</v>
      </c>
      <c r="M44">
        <v>6.3139621832948398</v>
      </c>
      <c r="N44">
        <v>3.5369925647110798</v>
      </c>
      <c r="O44">
        <v>214.843690620464</v>
      </c>
      <c r="P44">
        <v>0.20986228811817501</v>
      </c>
      <c r="Q44">
        <v>5.1138374351967997E-2</v>
      </c>
      <c r="R44">
        <v>3.0561050936140401E-2</v>
      </c>
      <c r="S44">
        <v>1.6493252387431101E-2</v>
      </c>
      <c r="T44">
        <v>0.21329118368777</v>
      </c>
      <c r="U44">
        <v>5.34833026700023E-2</v>
      </c>
      <c r="V44">
        <v>2.9388632102996599E-2</v>
      </c>
      <c r="W44">
        <v>1.6463097214986101E-2</v>
      </c>
    </row>
    <row r="45" spans="1:23">
      <c r="A45">
        <v>74</v>
      </c>
      <c r="B45">
        <v>58</v>
      </c>
      <c r="C45">
        <v>58</v>
      </c>
      <c r="D45" t="s">
        <v>216</v>
      </c>
      <c r="E45">
        <v>1</v>
      </c>
      <c r="F45">
        <v>60.2311952987029</v>
      </c>
      <c r="G45">
        <v>15.1632294185415</v>
      </c>
      <c r="H45">
        <v>6.0117267417845399</v>
      </c>
      <c r="I45">
        <v>3.2827567921876399</v>
      </c>
      <c r="J45">
        <v>339.99459055987802</v>
      </c>
      <c r="K45">
        <v>75.767069130246995</v>
      </c>
      <c r="L45">
        <v>21.597828583950299</v>
      </c>
      <c r="M45">
        <v>8.0190977853835204</v>
      </c>
      <c r="N45">
        <v>3.78030611241571</v>
      </c>
      <c r="O45">
        <v>422.22364042154601</v>
      </c>
      <c r="P45">
        <v>0.17715339293933699</v>
      </c>
      <c r="Q45">
        <v>4.45984431504391E-2</v>
      </c>
      <c r="R45">
        <v>1.7681830560553499E-2</v>
      </c>
      <c r="S45">
        <v>9.6553206531369805E-3</v>
      </c>
      <c r="T45">
        <v>0.17944771887855801</v>
      </c>
      <c r="U45">
        <v>5.1152580093305901E-2</v>
      </c>
      <c r="V45">
        <v>1.89925362241141E-2</v>
      </c>
      <c r="W45">
        <v>8.9533265087702804E-3</v>
      </c>
    </row>
    <row r="46" spans="1:23">
      <c r="A46">
        <v>5</v>
      </c>
      <c r="B46">
        <v>15</v>
      </c>
      <c r="C46">
        <v>15</v>
      </c>
      <c r="D46" t="s">
        <v>5</v>
      </c>
      <c r="E46">
        <v>3</v>
      </c>
      <c r="F46">
        <v>21.993396543648601</v>
      </c>
      <c r="G46">
        <v>7.3555064628569804</v>
      </c>
      <c r="H46">
        <v>2.4935397491514499</v>
      </c>
      <c r="I46">
        <v>1.30433979071253</v>
      </c>
      <c r="J46">
        <v>104.06913693853799</v>
      </c>
      <c r="K46">
        <v>74.339918926508901</v>
      </c>
      <c r="L46">
        <v>16.437539601418301</v>
      </c>
      <c r="M46">
        <v>5.1390932042072102</v>
      </c>
      <c r="N46">
        <v>2.7090005289396801</v>
      </c>
      <c r="O46">
        <v>289.53939317100998</v>
      </c>
      <c r="P46">
        <v>0.211334476201505</v>
      </c>
      <c r="Q46">
        <v>7.0679037793895103E-2</v>
      </c>
      <c r="R46">
        <v>2.3960415378712199E-2</v>
      </c>
      <c r="S46">
        <v>1.25333968271771E-2</v>
      </c>
      <c r="T46">
        <v>0.256752347624773</v>
      </c>
      <c r="U46">
        <v>5.6771340926689798E-2</v>
      </c>
      <c r="V46">
        <v>1.77492020962133E-2</v>
      </c>
      <c r="W46">
        <v>9.3562416473659798E-3</v>
      </c>
    </row>
    <row r="47" spans="1:23">
      <c r="A47">
        <v>4</v>
      </c>
      <c r="B47">
        <v>16</v>
      </c>
      <c r="C47">
        <v>16</v>
      </c>
      <c r="D47" t="s">
        <v>722</v>
      </c>
      <c r="E47">
        <v>3</v>
      </c>
      <c r="F47">
        <v>38.173744213697901</v>
      </c>
      <c r="G47">
        <v>8.6482664421411695</v>
      </c>
      <c r="H47">
        <v>3.1687004289976901</v>
      </c>
      <c r="I47">
        <v>1.7460654714341399</v>
      </c>
      <c r="J47">
        <v>200.95966865617001</v>
      </c>
      <c r="K47">
        <v>56.1379735264536</v>
      </c>
      <c r="L47">
        <v>11.854214803549199</v>
      </c>
      <c r="M47">
        <v>3.94630861032533</v>
      </c>
      <c r="N47">
        <v>2.09622143454841</v>
      </c>
      <c r="O47">
        <v>323.95517397208101</v>
      </c>
      <c r="P47">
        <v>0.18995724101740499</v>
      </c>
      <c r="Q47">
        <v>4.3034836293136203E-2</v>
      </c>
      <c r="R47">
        <v>1.5767842623283498E-2</v>
      </c>
      <c r="S47">
        <v>8.6886362975724992E-3</v>
      </c>
      <c r="T47">
        <v>0.17328932530428301</v>
      </c>
      <c r="U47">
        <v>3.6592145321225303E-2</v>
      </c>
      <c r="V47">
        <v>1.21816502015968E-2</v>
      </c>
      <c r="W47">
        <v>6.4707144783218299E-3</v>
      </c>
    </row>
    <row r="48" spans="1:23">
      <c r="A48">
        <v>2</v>
      </c>
      <c r="B48">
        <v>59</v>
      </c>
      <c r="C48">
        <v>59</v>
      </c>
      <c r="D48" t="s">
        <v>724</v>
      </c>
      <c r="E48">
        <v>1</v>
      </c>
      <c r="F48">
        <v>49.349805586569801</v>
      </c>
      <c r="G48">
        <v>8.8032163380136108</v>
      </c>
      <c r="H48">
        <v>3.6153137571732699</v>
      </c>
      <c r="I48">
        <v>3.0261465856441401</v>
      </c>
      <c r="J48">
        <v>271.015333397679</v>
      </c>
      <c r="K48">
        <v>45.417186435519902</v>
      </c>
      <c r="L48">
        <v>10.455703077730201</v>
      </c>
      <c r="M48">
        <v>4.8218174153373097</v>
      </c>
      <c r="N48">
        <v>3.7146215037743699</v>
      </c>
      <c r="O48">
        <v>251.96100999409401</v>
      </c>
      <c r="P48">
        <v>0.18209230071183999</v>
      </c>
      <c r="Q48">
        <v>3.2482355251450101E-2</v>
      </c>
      <c r="R48">
        <v>1.3339886388894001E-2</v>
      </c>
      <c r="S48">
        <v>1.1165960787922201E-2</v>
      </c>
      <c r="T48">
        <v>0.18025481973018201</v>
      </c>
      <c r="U48">
        <v>4.1497305785427999E-2</v>
      </c>
      <c r="V48">
        <v>1.9137157036520601E-2</v>
      </c>
      <c r="W48">
        <v>1.47428425686238E-2</v>
      </c>
    </row>
    <row r="49" spans="1:23">
      <c r="A49">
        <v>58</v>
      </c>
      <c r="B49">
        <v>60</v>
      </c>
      <c r="C49">
        <v>60</v>
      </c>
      <c r="D49" t="s">
        <v>46</v>
      </c>
      <c r="E49">
        <v>1</v>
      </c>
      <c r="F49">
        <v>36.643886135670101</v>
      </c>
      <c r="G49">
        <v>8.1120009103523198</v>
      </c>
      <c r="H49">
        <v>3.6521125994373498</v>
      </c>
      <c r="I49">
        <v>2.0242476937820202</v>
      </c>
      <c r="J49">
        <v>242.08033706481299</v>
      </c>
      <c r="K49">
        <v>90.611057463158005</v>
      </c>
      <c r="L49">
        <v>8.9814476426252998</v>
      </c>
      <c r="M49">
        <v>3.1466083144777102</v>
      </c>
      <c r="N49">
        <v>2.0911299488410702</v>
      </c>
      <c r="O49">
        <v>478.12012127294298</v>
      </c>
      <c r="P49">
        <v>0.151370766333076</v>
      </c>
      <c r="Q49">
        <v>3.3509540711604703E-2</v>
      </c>
      <c r="R49">
        <v>1.5086366136625E-2</v>
      </c>
      <c r="S49">
        <v>8.3618839858111398E-3</v>
      </c>
      <c r="T49">
        <v>0.18951525658848201</v>
      </c>
      <c r="U49">
        <v>1.8784918774623401E-2</v>
      </c>
      <c r="V49">
        <v>6.5812087265857203E-3</v>
      </c>
      <c r="W49">
        <v>4.37364974992825E-3</v>
      </c>
    </row>
    <row r="50" spans="1:23">
      <c r="B50">
        <v>76</v>
      </c>
      <c r="C50">
        <v>77</v>
      </c>
      <c r="D50" t="s">
        <v>728</v>
      </c>
      <c r="E50">
        <v>3</v>
      </c>
      <c r="F50">
        <v>58.084973203212797</v>
      </c>
      <c r="G50">
        <v>10.647259086454801</v>
      </c>
      <c r="H50">
        <v>3.9438027113738099</v>
      </c>
      <c r="I50">
        <v>1.33234728956292</v>
      </c>
      <c r="J50">
        <v>276.34284140582901</v>
      </c>
      <c r="K50">
        <v>125.73447838271299</v>
      </c>
      <c r="L50">
        <v>21.494013064250399</v>
      </c>
      <c r="M50">
        <v>5.7842438235178797</v>
      </c>
      <c r="N50">
        <v>3.7624469743963198</v>
      </c>
      <c r="O50">
        <v>449.08054783445903</v>
      </c>
      <c r="P50">
        <v>0.210191705736683</v>
      </c>
      <c r="Q50">
        <v>3.85291655549658E-2</v>
      </c>
      <c r="R50">
        <v>1.42714126094624E-2</v>
      </c>
      <c r="S50">
        <v>4.8213562645043201E-3</v>
      </c>
      <c r="T50">
        <v>0.27998201879156298</v>
      </c>
      <c r="U50">
        <v>4.7862266953886401E-2</v>
      </c>
      <c r="V50">
        <v>1.28801923205324E-2</v>
      </c>
      <c r="W50">
        <v>8.3781116606797094E-3</v>
      </c>
    </row>
    <row r="51" spans="1:23">
      <c r="B51">
        <v>77</v>
      </c>
      <c r="C51">
        <v>78</v>
      </c>
      <c r="D51" t="s">
        <v>730</v>
      </c>
      <c r="E51">
        <v>3</v>
      </c>
      <c r="F51">
        <v>39.085451750605202</v>
      </c>
      <c r="G51">
        <v>9.8373962634331704</v>
      </c>
      <c r="H51">
        <v>4.9947824652938397</v>
      </c>
      <c r="I51">
        <v>3.5194934887971998</v>
      </c>
      <c r="J51">
        <v>228.834321808764</v>
      </c>
      <c r="K51">
        <v>74.625973461069094</v>
      </c>
      <c r="L51">
        <v>11.822228383234499</v>
      </c>
      <c r="M51">
        <v>4.8265229626977799</v>
      </c>
      <c r="N51">
        <v>3.42651133182581</v>
      </c>
      <c r="O51">
        <v>347.21800384050402</v>
      </c>
      <c r="P51">
        <v>0.170802401674993</v>
      </c>
      <c r="Q51">
        <v>4.2989164324983703E-2</v>
      </c>
      <c r="R51">
        <v>2.1827068709858798E-2</v>
      </c>
      <c r="S51">
        <v>1.53800944761181E-2</v>
      </c>
      <c r="T51">
        <v>0.21492541468370699</v>
      </c>
      <c r="U51">
        <v>3.4048431396043403E-2</v>
      </c>
      <c r="V51">
        <v>1.39005550095693E-2</v>
      </c>
      <c r="W51">
        <v>9.8684725271325196E-3</v>
      </c>
    </row>
    <row r="52" spans="1:23">
      <c r="A52">
        <v>62</v>
      </c>
      <c r="B52">
        <v>17</v>
      </c>
      <c r="C52">
        <v>17</v>
      </c>
      <c r="D52" t="s">
        <v>206</v>
      </c>
      <c r="E52">
        <v>3</v>
      </c>
      <c r="F52">
        <v>14.8488370241315</v>
      </c>
      <c r="G52">
        <v>2.5401931962732398</v>
      </c>
      <c r="H52">
        <v>1.31748418018046</v>
      </c>
      <c r="I52">
        <v>0.831192982029062</v>
      </c>
      <c r="J52">
        <v>111.405028895307</v>
      </c>
      <c r="K52">
        <v>41.861674406854497</v>
      </c>
      <c r="L52">
        <v>3.7158135521176701</v>
      </c>
      <c r="M52">
        <v>1.37541318034315</v>
      </c>
      <c r="N52">
        <v>0.99382744029637204</v>
      </c>
      <c r="O52">
        <v>234.607551076416</v>
      </c>
      <c r="P52">
        <v>0.13328695456006401</v>
      </c>
      <c r="Q52">
        <v>2.28014230727447E-2</v>
      </c>
      <c r="R52">
        <v>1.1826074578900499E-2</v>
      </c>
      <c r="S52">
        <v>7.4610005515116902E-3</v>
      </c>
      <c r="T52">
        <v>0.17843276661295299</v>
      </c>
      <c r="U52">
        <v>1.5838422655489799E-2</v>
      </c>
      <c r="V52">
        <v>5.8626125801686203E-3</v>
      </c>
      <c r="W52">
        <v>4.2361272505362204E-3</v>
      </c>
    </row>
    <row r="53" spans="1:23">
      <c r="B53">
        <v>78</v>
      </c>
      <c r="C53">
        <v>79</v>
      </c>
      <c r="D53" t="s">
        <v>733</v>
      </c>
      <c r="E53">
        <v>3</v>
      </c>
      <c r="F53">
        <v>48.914129317247003</v>
      </c>
      <c r="G53">
        <v>15.915846228858101</v>
      </c>
      <c r="H53">
        <v>4.8748857838436299</v>
      </c>
      <c r="I53">
        <v>2.5298683199768899</v>
      </c>
      <c r="J53">
        <v>193.32026362728399</v>
      </c>
      <c r="K53">
        <v>73.479968284863006</v>
      </c>
      <c r="L53">
        <v>17.702295386695301</v>
      </c>
      <c r="M53">
        <v>6.4042815845921401</v>
      </c>
      <c r="N53">
        <v>4.1742649324420098</v>
      </c>
      <c r="O53">
        <v>368.57160969037699</v>
      </c>
      <c r="P53">
        <v>0.25302122188055798</v>
      </c>
      <c r="Q53">
        <v>8.2328908155967995E-2</v>
      </c>
      <c r="R53">
        <v>2.5216631161036899E-2</v>
      </c>
      <c r="S53">
        <v>1.30864104595595E-2</v>
      </c>
      <c r="T53">
        <v>0.19936415706730901</v>
      </c>
      <c r="U53">
        <v>4.80294600052521E-2</v>
      </c>
      <c r="V53">
        <v>1.7375949248972698E-2</v>
      </c>
      <c r="W53">
        <v>1.1325519445050799E-2</v>
      </c>
    </row>
    <row r="54" spans="1:23">
      <c r="A54">
        <v>26</v>
      </c>
      <c r="B54">
        <v>18</v>
      </c>
      <c r="C54">
        <v>18</v>
      </c>
      <c r="D54" t="s">
        <v>735</v>
      </c>
      <c r="E54">
        <v>3</v>
      </c>
      <c r="F54">
        <v>29.362813407356899</v>
      </c>
      <c r="G54">
        <v>17.800975676906301</v>
      </c>
      <c r="H54">
        <v>7.0487040960891196</v>
      </c>
      <c r="I54">
        <v>3.3199250606357502</v>
      </c>
      <c r="J54">
        <v>138.352905352986</v>
      </c>
      <c r="K54">
        <v>12.8270454308942</v>
      </c>
      <c r="L54">
        <v>9.9431849365371203</v>
      </c>
      <c r="M54">
        <v>5.8297926280843901</v>
      </c>
      <c r="N54">
        <v>2.5074776080516799</v>
      </c>
      <c r="O54">
        <v>75.061963837787005</v>
      </c>
      <c r="P54">
        <v>0.212231274308568</v>
      </c>
      <c r="Q54">
        <v>0.12866354798614299</v>
      </c>
      <c r="R54">
        <v>5.0947279192333897E-2</v>
      </c>
      <c r="S54">
        <v>2.3996063199146302E-2</v>
      </c>
      <c r="T54">
        <v>0.17088608897329399</v>
      </c>
      <c r="U54">
        <v>0.13246635750198199</v>
      </c>
      <c r="V54">
        <v>7.7666401596991202E-2</v>
      </c>
      <c r="W54">
        <v>3.3405435720686397E-2</v>
      </c>
    </row>
    <row r="55" spans="1:23">
      <c r="A55">
        <v>35</v>
      </c>
      <c r="B55">
        <v>21</v>
      </c>
      <c r="C55">
        <v>21</v>
      </c>
      <c r="D55" t="s">
        <v>743</v>
      </c>
      <c r="E55">
        <v>3</v>
      </c>
      <c r="F55">
        <v>38.5830295245987</v>
      </c>
      <c r="G55">
        <v>8.9014069505449402</v>
      </c>
      <c r="H55">
        <v>4.7248883789198404</v>
      </c>
      <c r="I55">
        <v>2.6064935470933901</v>
      </c>
      <c r="J55">
        <v>223.70915327482501</v>
      </c>
      <c r="K55">
        <v>56.795106814927401</v>
      </c>
      <c r="L55">
        <v>11.418694362675801</v>
      </c>
      <c r="M55">
        <v>4.1861232816266103</v>
      </c>
      <c r="N55">
        <v>2.7261144226949399</v>
      </c>
      <c r="O55">
        <v>287.23567616426902</v>
      </c>
      <c r="P55">
        <v>0.17246960600311101</v>
      </c>
      <c r="Q55">
        <v>3.9790088247348802E-2</v>
      </c>
      <c r="R55">
        <v>2.1120675259609801E-2</v>
      </c>
      <c r="S55">
        <v>1.16512601694547E-2</v>
      </c>
      <c r="T55">
        <v>0.197729988048025</v>
      </c>
      <c r="U55">
        <v>3.9753746871421101E-2</v>
      </c>
      <c r="V55">
        <v>1.4573827797186901E-2</v>
      </c>
      <c r="W55">
        <v>9.4908629008044303E-3</v>
      </c>
    </row>
    <row r="56" spans="1:23">
      <c r="A56">
        <v>64</v>
      </c>
      <c r="B56">
        <v>20</v>
      </c>
      <c r="C56">
        <v>20</v>
      </c>
      <c r="D56" t="s">
        <v>209</v>
      </c>
      <c r="E56">
        <v>3</v>
      </c>
      <c r="F56">
        <v>26.493786003209401</v>
      </c>
      <c r="G56">
        <v>7.0893736254931801</v>
      </c>
      <c r="H56">
        <v>3.2713547083681598</v>
      </c>
      <c r="I56">
        <v>1.82918224155089</v>
      </c>
      <c r="J56">
        <v>125.886523834846</v>
      </c>
      <c r="K56">
        <v>52.6172254516324</v>
      </c>
      <c r="L56">
        <v>16.770667609702102</v>
      </c>
      <c r="M56">
        <v>6.6253099364054302</v>
      </c>
      <c r="N56">
        <v>3.6118590456004398</v>
      </c>
      <c r="O56">
        <v>204.900766728078</v>
      </c>
      <c r="P56">
        <v>0.210457682015013</v>
      </c>
      <c r="Q56">
        <v>5.6315588114847798E-2</v>
      </c>
      <c r="R56">
        <v>2.5986536197154301E-2</v>
      </c>
      <c r="S56">
        <v>1.45304055257784E-2</v>
      </c>
      <c r="T56">
        <v>0.25679369722154499</v>
      </c>
      <c r="U56">
        <v>8.1847754293463998E-2</v>
      </c>
      <c r="V56">
        <v>3.23342369196589E-2</v>
      </c>
      <c r="W56">
        <v>1.7627357394878401E-2</v>
      </c>
    </row>
    <row r="57" spans="1:23">
      <c r="A57">
        <v>44</v>
      </c>
      <c r="B57">
        <v>41</v>
      </c>
      <c r="C57">
        <v>41</v>
      </c>
      <c r="D57" t="s">
        <v>737</v>
      </c>
      <c r="E57">
        <v>2</v>
      </c>
      <c r="F57">
        <v>42.598620342834103</v>
      </c>
      <c r="G57">
        <v>11.68660734501</v>
      </c>
      <c r="H57">
        <v>4.8493691776290904</v>
      </c>
      <c r="I57">
        <v>2.45255934064599</v>
      </c>
      <c r="J57">
        <v>218.62388002848499</v>
      </c>
      <c r="K57">
        <v>54.975668973544899</v>
      </c>
      <c r="L57">
        <v>12.461913574332099</v>
      </c>
      <c r="M57">
        <v>5.31210243001654</v>
      </c>
      <c r="N57">
        <v>3.1227598230927001</v>
      </c>
      <c r="O57">
        <v>258.34184398088598</v>
      </c>
      <c r="P57">
        <v>0.19484888996245001</v>
      </c>
      <c r="Q57">
        <v>5.3455310295871403E-2</v>
      </c>
      <c r="R57">
        <v>2.2181333425228999E-2</v>
      </c>
      <c r="S57">
        <v>1.12181676600307E-2</v>
      </c>
      <c r="T57">
        <v>0.21280203054373301</v>
      </c>
      <c r="U57">
        <v>4.8238076272514897E-2</v>
      </c>
      <c r="V57">
        <v>2.0562299734957198E-2</v>
      </c>
      <c r="W57">
        <v>1.20877043183285E-2</v>
      </c>
    </row>
    <row r="58" spans="1:23">
      <c r="A58">
        <v>59</v>
      </c>
      <c r="B58">
        <v>19</v>
      </c>
      <c r="C58">
        <v>19</v>
      </c>
      <c r="D58" t="s">
        <v>202</v>
      </c>
      <c r="E58">
        <v>3</v>
      </c>
      <c r="F58">
        <v>18.067575378041902</v>
      </c>
      <c r="G58">
        <v>4.4069334312767303</v>
      </c>
      <c r="H58">
        <v>2.8105286621157299</v>
      </c>
      <c r="I58">
        <v>1.5175975546645499</v>
      </c>
      <c r="J58">
        <v>106.17239274790001</v>
      </c>
      <c r="K58">
        <v>39.908586051572797</v>
      </c>
      <c r="L58">
        <v>7.9310936579256301</v>
      </c>
      <c r="M58">
        <v>3.2277222640336101</v>
      </c>
      <c r="N58">
        <v>2.7682613023055298</v>
      </c>
      <c r="O58">
        <v>223.83614764621601</v>
      </c>
      <c r="P58">
        <v>0.170172065547607</v>
      </c>
      <c r="Q58">
        <v>4.15073383694076E-2</v>
      </c>
      <c r="R58">
        <v>2.6471369716505801E-2</v>
      </c>
      <c r="S58">
        <v>1.4293711532601399E-2</v>
      </c>
      <c r="T58">
        <v>0.17829374956296201</v>
      </c>
      <c r="U58">
        <v>3.5432586475983803E-2</v>
      </c>
      <c r="V58">
        <v>1.4420022404670701E-2</v>
      </c>
      <c r="W58">
        <v>1.23673559048242E-2</v>
      </c>
    </row>
    <row r="59" spans="1:23">
      <c r="A59">
        <v>21</v>
      </c>
      <c r="B59">
        <v>61</v>
      </c>
      <c r="C59">
        <v>61</v>
      </c>
      <c r="D59" t="s">
        <v>741</v>
      </c>
      <c r="E59">
        <v>1</v>
      </c>
      <c r="F59">
        <v>44.972420274265303</v>
      </c>
      <c r="G59">
        <v>19.785092798807</v>
      </c>
      <c r="H59">
        <v>7.6780886744574097</v>
      </c>
      <c r="I59">
        <v>3.3522452627984798</v>
      </c>
      <c r="J59">
        <v>218.89724002582099</v>
      </c>
      <c r="K59">
        <v>39.217286937460202</v>
      </c>
      <c r="L59">
        <v>16.413809763096801</v>
      </c>
      <c r="M59">
        <v>8.23781885510253</v>
      </c>
      <c r="N59">
        <v>4.2856188661644898</v>
      </c>
      <c r="O59">
        <v>204.003606759523</v>
      </c>
      <c r="P59">
        <v>0.20544991919021099</v>
      </c>
      <c r="Q59">
        <v>9.0385300410700198E-2</v>
      </c>
      <c r="R59">
        <v>3.5076224229924999E-2</v>
      </c>
      <c r="S59">
        <v>1.53142417985857E-2</v>
      </c>
      <c r="T59">
        <v>0.19223820382592</v>
      </c>
      <c r="U59">
        <v>8.0458429259268702E-2</v>
      </c>
      <c r="V59">
        <v>4.0380751036490997E-2</v>
      </c>
      <c r="W59">
        <v>2.1007564200648199E-2</v>
      </c>
    </row>
    <row r="60" spans="1:23">
      <c r="A60">
        <v>52</v>
      </c>
      <c r="B60">
        <v>62</v>
      </c>
      <c r="C60">
        <v>62</v>
      </c>
      <c r="D60" t="s">
        <v>745</v>
      </c>
      <c r="E60">
        <v>1</v>
      </c>
      <c r="F60">
        <v>139.76076724487001</v>
      </c>
      <c r="G60">
        <v>48.7788310307036</v>
      </c>
      <c r="H60">
        <v>15.8305296538364</v>
      </c>
      <c r="I60">
        <v>7.3307762927581397</v>
      </c>
      <c r="J60">
        <v>614.32806088454697</v>
      </c>
      <c r="K60">
        <v>191.4402521634</v>
      </c>
      <c r="L60">
        <v>53.1245349953711</v>
      </c>
      <c r="M60">
        <v>18.1005727442211</v>
      </c>
      <c r="N60">
        <v>7.0987354236010498</v>
      </c>
      <c r="O60">
        <v>711.25722724932803</v>
      </c>
      <c r="P60">
        <v>0.227501844932224</v>
      </c>
      <c r="Q60">
        <v>7.9401925675458895E-2</v>
      </c>
      <c r="R60">
        <v>2.5768853259026898E-2</v>
      </c>
      <c r="S60">
        <v>1.19329992548327E-2</v>
      </c>
      <c r="T60">
        <v>0.26915754923681201</v>
      </c>
      <c r="U60">
        <v>7.4691030136623898E-2</v>
      </c>
      <c r="V60">
        <v>2.54487013288036E-2</v>
      </c>
      <c r="W60">
        <v>9.9805459285865605E-3</v>
      </c>
    </row>
    <row r="61" spans="1:23">
      <c r="A61">
        <v>77</v>
      </c>
      <c r="B61">
        <v>42</v>
      </c>
      <c r="C61">
        <v>42</v>
      </c>
      <c r="D61" t="s">
        <v>219</v>
      </c>
      <c r="E61">
        <v>2</v>
      </c>
      <c r="F61">
        <v>33.738033037323099</v>
      </c>
      <c r="G61">
        <v>14.734353418586601</v>
      </c>
      <c r="H61">
        <v>3.5075195278257798</v>
      </c>
      <c r="I61">
        <v>2.5108360320445602</v>
      </c>
      <c r="J61">
        <v>178.21644633543301</v>
      </c>
      <c r="K61">
        <v>89.3045333834703</v>
      </c>
      <c r="L61">
        <v>24.0910531117975</v>
      </c>
      <c r="M61">
        <v>7.8186355616619698</v>
      </c>
      <c r="N61">
        <v>4.8424124355931504</v>
      </c>
      <c r="O61">
        <v>538.36396329996205</v>
      </c>
      <c r="P61">
        <v>0.18930931309124199</v>
      </c>
      <c r="Q61">
        <v>8.2676732263273101E-2</v>
      </c>
      <c r="R61">
        <v>1.9681233690543001E-2</v>
      </c>
      <c r="S61">
        <v>1.4088688691046699E-2</v>
      </c>
      <c r="T61">
        <v>0.165881335808712</v>
      </c>
      <c r="U61">
        <v>4.4748636153372302E-2</v>
      </c>
      <c r="V61">
        <v>1.45229549053335E-2</v>
      </c>
      <c r="W61">
        <v>8.9946816014783906E-3</v>
      </c>
    </row>
    <row r="62" spans="1:23">
      <c r="A62">
        <v>71</v>
      </c>
      <c r="B62">
        <v>63</v>
      </c>
      <c r="C62">
        <v>63</v>
      </c>
      <c r="D62" t="s">
        <v>820</v>
      </c>
      <c r="E62">
        <v>1</v>
      </c>
      <c r="F62">
        <v>47.133232509181298</v>
      </c>
      <c r="G62">
        <v>14.634082526136901</v>
      </c>
      <c r="H62">
        <v>4.2691963961717798</v>
      </c>
      <c r="I62">
        <v>1.7442251754164</v>
      </c>
      <c r="J62">
        <v>234.493531933708</v>
      </c>
      <c r="K62">
        <v>117.047396223443</v>
      </c>
      <c r="L62">
        <v>42.663140397638699</v>
      </c>
      <c r="M62">
        <v>12.300589868653701</v>
      </c>
      <c r="N62">
        <v>4.8343606648869297</v>
      </c>
      <c r="O62">
        <v>486.49571792761998</v>
      </c>
      <c r="P62">
        <v>0.20100013898253699</v>
      </c>
      <c r="Q62">
        <v>6.2407190532973701E-2</v>
      </c>
      <c r="R62">
        <v>1.8206030507394499E-2</v>
      </c>
      <c r="S62">
        <v>7.4382656145479502E-3</v>
      </c>
      <c r="T62">
        <v>0.24059286014282599</v>
      </c>
      <c r="U62">
        <v>8.7694791188246399E-2</v>
      </c>
      <c r="V62">
        <v>2.5284066057255201E-2</v>
      </c>
      <c r="W62">
        <v>9.9371083582819493E-3</v>
      </c>
    </row>
    <row r="63" spans="1:23">
      <c r="A63">
        <v>39</v>
      </c>
      <c r="B63">
        <v>64</v>
      </c>
      <c r="C63">
        <v>64</v>
      </c>
      <c r="D63" t="s">
        <v>749</v>
      </c>
      <c r="E63">
        <v>1</v>
      </c>
      <c r="F63">
        <v>13.969335624318401</v>
      </c>
      <c r="G63">
        <v>11.7201019700892</v>
      </c>
      <c r="H63">
        <v>10.168128997487701</v>
      </c>
      <c r="I63">
        <v>5.6591207402018098</v>
      </c>
      <c r="J63">
        <v>246.020256192923</v>
      </c>
      <c r="K63">
        <v>77.652184665198703</v>
      </c>
      <c r="L63">
        <v>10.972137911478301</v>
      </c>
      <c r="M63">
        <v>6.0796626768475104</v>
      </c>
      <c r="N63">
        <v>1.6779105285662199</v>
      </c>
      <c r="O63">
        <v>312.29089493855901</v>
      </c>
      <c r="P63">
        <v>5.6781241676961698E-2</v>
      </c>
      <c r="Q63">
        <v>4.7638768252068801E-2</v>
      </c>
      <c r="R63">
        <v>4.13304544708471E-2</v>
      </c>
      <c r="S63">
        <v>2.3002661763607199E-2</v>
      </c>
      <c r="T63">
        <v>0.24865337390152301</v>
      </c>
      <c r="U63">
        <v>3.5134350982717603E-2</v>
      </c>
      <c r="V63">
        <v>1.94679472741069E-2</v>
      </c>
      <c r="W63">
        <v>5.3729088992374901E-3</v>
      </c>
    </row>
    <row r="64" spans="1:23">
      <c r="A64">
        <v>22</v>
      </c>
      <c r="B64">
        <v>65</v>
      </c>
      <c r="C64">
        <v>65</v>
      </c>
      <c r="D64" t="s">
        <v>751</v>
      </c>
      <c r="E64">
        <v>1</v>
      </c>
      <c r="F64">
        <v>44.426130410767499</v>
      </c>
      <c r="G64">
        <v>8.6759661822486205</v>
      </c>
      <c r="H64">
        <v>3.3300349447612598</v>
      </c>
      <c r="I64">
        <v>2.05595057602347</v>
      </c>
      <c r="J64">
        <v>247.475016844203</v>
      </c>
      <c r="K64">
        <v>40.895031918294698</v>
      </c>
      <c r="L64">
        <v>13.311358942390999</v>
      </c>
      <c r="M64">
        <v>5.3664691582269297</v>
      </c>
      <c r="N64">
        <v>4.76207415865911</v>
      </c>
      <c r="O64">
        <v>268.23706852303798</v>
      </c>
      <c r="P64">
        <v>0.17951763768839701</v>
      </c>
      <c r="Q64">
        <v>3.5057947638045997E-2</v>
      </c>
      <c r="R64">
        <v>1.3456044926174001E-2</v>
      </c>
      <c r="S64">
        <v>8.3077096114222392E-3</v>
      </c>
      <c r="T64">
        <v>0.15245854028852199</v>
      </c>
      <c r="U64">
        <v>4.9625351990631603E-2</v>
      </c>
      <c r="V64">
        <v>2.0006441271430801E-2</v>
      </c>
      <c r="W64">
        <v>1.7753229204598601E-2</v>
      </c>
    </row>
    <row r="65" spans="1:23">
      <c r="A65">
        <v>79</v>
      </c>
      <c r="B65">
        <v>23</v>
      </c>
      <c r="C65">
        <v>23</v>
      </c>
      <c r="D65" t="s">
        <v>223</v>
      </c>
      <c r="E65">
        <v>3</v>
      </c>
      <c r="F65">
        <v>25.5228159650161</v>
      </c>
      <c r="G65">
        <v>12.266389047523299</v>
      </c>
      <c r="H65">
        <v>3.7341295194451201</v>
      </c>
      <c r="I65">
        <v>1.41993961693172</v>
      </c>
      <c r="J65">
        <v>142.231120356346</v>
      </c>
      <c r="K65">
        <v>40.1331577132595</v>
      </c>
      <c r="L65">
        <v>15.784662794714301</v>
      </c>
      <c r="M65">
        <v>4.2612479596592703</v>
      </c>
      <c r="N65">
        <v>1.8422336871837801</v>
      </c>
      <c r="O65">
        <v>182.925317089185</v>
      </c>
      <c r="P65">
        <v>0.17944607270948301</v>
      </c>
      <c r="Q65">
        <v>8.6242652218382704E-2</v>
      </c>
      <c r="R65">
        <v>2.62539556047202E-2</v>
      </c>
      <c r="S65">
        <v>9.9833258247154204E-3</v>
      </c>
      <c r="T65">
        <v>0.21939640915692801</v>
      </c>
      <c r="U65">
        <v>8.6290203269231397E-2</v>
      </c>
      <c r="V65">
        <v>2.3295014749553301E-2</v>
      </c>
      <c r="W65">
        <v>1.0070960742331801E-2</v>
      </c>
    </row>
    <row r="66" spans="1:23">
      <c r="A66">
        <v>63</v>
      </c>
      <c r="B66">
        <v>22</v>
      </c>
      <c r="C66">
        <v>22</v>
      </c>
      <c r="D66" t="s">
        <v>753</v>
      </c>
      <c r="E66">
        <v>3</v>
      </c>
      <c r="F66">
        <v>29.559159383051298</v>
      </c>
      <c r="G66">
        <v>6.0842658126247198</v>
      </c>
      <c r="H66">
        <v>3.0700722911647298</v>
      </c>
      <c r="I66">
        <v>1.9314793602696301</v>
      </c>
      <c r="J66">
        <v>132.689008671544</v>
      </c>
      <c r="K66">
        <v>68.568166433546494</v>
      </c>
      <c r="L66">
        <v>13.396992539187501</v>
      </c>
      <c r="M66">
        <v>5.7792872380753897</v>
      </c>
      <c r="N66">
        <v>3.2845526450803399</v>
      </c>
      <c r="O66">
        <v>296.89173701159501</v>
      </c>
      <c r="P66">
        <v>0.222770217962978</v>
      </c>
      <c r="Q66">
        <v>4.5853578028347497E-2</v>
      </c>
      <c r="R66">
        <v>2.3137351932173401E-2</v>
      </c>
      <c r="S66">
        <v>1.4556438243131201E-2</v>
      </c>
      <c r="T66">
        <v>0.23095343482351099</v>
      </c>
      <c r="U66">
        <v>4.5124167732105799E-2</v>
      </c>
      <c r="V66">
        <v>1.9465975362762199E-2</v>
      </c>
      <c r="W66">
        <v>1.10631325685971E-2</v>
      </c>
    </row>
    <row r="67" spans="1:23">
      <c r="A67">
        <v>75</v>
      </c>
      <c r="B67">
        <v>66</v>
      </c>
      <c r="C67">
        <v>66</v>
      </c>
      <c r="D67" t="s">
        <v>218</v>
      </c>
      <c r="E67">
        <v>1</v>
      </c>
      <c r="F67">
        <v>24.6510494618663</v>
      </c>
      <c r="G67">
        <v>12.413666742935799</v>
      </c>
      <c r="H67">
        <v>4.0163939595856304</v>
      </c>
      <c r="I67">
        <v>1.6429502992929099</v>
      </c>
      <c r="J67">
        <v>112.643962694414</v>
      </c>
      <c r="K67">
        <v>45.662915917381099</v>
      </c>
      <c r="L67">
        <v>28.022869147694301</v>
      </c>
      <c r="M67">
        <v>8.9014352045919001</v>
      </c>
      <c r="N67">
        <v>4.3034021027978797</v>
      </c>
      <c r="O67">
        <v>165.62626374721799</v>
      </c>
      <c r="P67">
        <v>0.21884039652210099</v>
      </c>
      <c r="Q67">
        <v>0.110202681493124</v>
      </c>
      <c r="R67">
        <v>3.5655652229507499E-2</v>
      </c>
      <c r="S67">
        <v>1.4585338263977701E-2</v>
      </c>
      <c r="T67">
        <v>0.27569852077972901</v>
      </c>
      <c r="U67">
        <v>0.169193390671804</v>
      </c>
      <c r="V67">
        <v>5.3744104366065103E-2</v>
      </c>
      <c r="W67">
        <v>2.59826068972118E-2</v>
      </c>
    </row>
    <row r="68" spans="1:23">
      <c r="A68">
        <v>72</v>
      </c>
      <c r="B68">
        <v>67</v>
      </c>
      <c r="C68">
        <v>67</v>
      </c>
      <c r="D68" t="s">
        <v>215</v>
      </c>
      <c r="E68">
        <v>1</v>
      </c>
      <c r="F68">
        <v>86.434154254961697</v>
      </c>
      <c r="G68">
        <v>19.073731587315201</v>
      </c>
      <c r="H68">
        <v>6.7148946454241099</v>
      </c>
      <c r="I68">
        <v>3.4266472617658001</v>
      </c>
      <c r="J68">
        <v>435.88801762384998</v>
      </c>
      <c r="K68">
        <v>103.917141526335</v>
      </c>
      <c r="L68">
        <v>25.441054283718</v>
      </c>
      <c r="M68">
        <v>9.0711795971845</v>
      </c>
      <c r="N68">
        <v>4.5633669953453904</v>
      </c>
      <c r="O68">
        <v>408.911826937108</v>
      </c>
      <c r="P68">
        <v>0.198294403058242</v>
      </c>
      <c r="Q68">
        <v>4.3758329699658899E-2</v>
      </c>
      <c r="R68">
        <v>1.54050911562766E-2</v>
      </c>
      <c r="S68">
        <v>7.8613018096836598E-3</v>
      </c>
      <c r="T68">
        <v>0.25413092672009602</v>
      </c>
      <c r="U68">
        <v>6.22164794652195E-2</v>
      </c>
      <c r="V68">
        <v>2.21837056294771E-2</v>
      </c>
      <c r="W68">
        <v>1.1159782365617999E-2</v>
      </c>
    </row>
    <row r="69" spans="1:23">
      <c r="A69">
        <v>24</v>
      </c>
      <c r="B69">
        <v>68</v>
      </c>
      <c r="C69">
        <v>68</v>
      </c>
      <c r="D69" t="s">
        <v>758</v>
      </c>
      <c r="E69">
        <v>1</v>
      </c>
      <c r="F69">
        <v>47.1633806196145</v>
      </c>
      <c r="G69">
        <v>11.1056693174207</v>
      </c>
      <c r="H69">
        <v>5.0342298639506096</v>
      </c>
      <c r="I69">
        <v>2.5143904070985701</v>
      </c>
      <c r="J69">
        <v>206.26078587485901</v>
      </c>
      <c r="K69">
        <v>83.742012115992097</v>
      </c>
      <c r="L69">
        <v>20.0874319423536</v>
      </c>
      <c r="M69">
        <v>6.4660803953126704</v>
      </c>
      <c r="N69">
        <v>3.4330837811633699</v>
      </c>
      <c r="O69">
        <v>282.27747575722901</v>
      </c>
      <c r="P69">
        <v>0.22865897858175099</v>
      </c>
      <c r="Q69">
        <v>5.3842853697641802E-2</v>
      </c>
      <c r="R69">
        <v>2.44071108456114E-2</v>
      </c>
      <c r="S69">
        <v>1.2190346295994799E-2</v>
      </c>
      <c r="T69">
        <v>0.29666558371810697</v>
      </c>
      <c r="U69">
        <v>7.1162007838094996E-2</v>
      </c>
      <c r="V69">
        <v>2.2906823783821102E-2</v>
      </c>
      <c r="W69">
        <v>1.21620889940081E-2</v>
      </c>
    </row>
    <row r="70" spans="1:23">
      <c r="B70">
        <v>79</v>
      </c>
      <c r="C70">
        <v>80</v>
      </c>
      <c r="D70" t="s">
        <v>513</v>
      </c>
      <c r="E70">
        <v>2</v>
      </c>
      <c r="F70">
        <v>36.882071981375802</v>
      </c>
      <c r="G70">
        <v>7.4805602615988303</v>
      </c>
      <c r="H70">
        <v>3.0091964088532501</v>
      </c>
      <c r="I70">
        <v>1.21134637445769</v>
      </c>
      <c r="J70">
        <v>293.312340345721</v>
      </c>
      <c r="K70">
        <v>69.884889757860705</v>
      </c>
      <c r="L70">
        <v>13.0323696659402</v>
      </c>
      <c r="M70">
        <v>5.3180903366128396</v>
      </c>
      <c r="N70">
        <v>2.9762068111464801</v>
      </c>
      <c r="O70">
        <v>548.32102787659801</v>
      </c>
      <c r="P70">
        <v>0.125743335373833</v>
      </c>
      <c r="Q70">
        <v>2.5503735208623101E-2</v>
      </c>
      <c r="R70">
        <v>1.0259358352622899E-2</v>
      </c>
      <c r="S70">
        <v>4.1298854764511396E-3</v>
      </c>
      <c r="T70">
        <v>0.12745250720821999</v>
      </c>
      <c r="U70">
        <v>2.37677728983124E-2</v>
      </c>
      <c r="V70">
        <v>9.6988626484149701E-3</v>
      </c>
      <c r="W70">
        <v>5.42785459582318E-3</v>
      </c>
    </row>
    <row r="71" spans="1:23">
      <c r="A71">
        <v>6</v>
      </c>
      <c r="B71">
        <v>24</v>
      </c>
      <c r="C71">
        <v>24</v>
      </c>
      <c r="D71" t="s">
        <v>761</v>
      </c>
      <c r="E71">
        <v>3</v>
      </c>
      <c r="F71">
        <v>55.503535236275603</v>
      </c>
      <c r="G71">
        <v>19.839772260704098</v>
      </c>
      <c r="H71">
        <v>8.0854938338528104</v>
      </c>
      <c r="I71">
        <v>3.7700774790282101</v>
      </c>
      <c r="J71">
        <v>305.89315077784897</v>
      </c>
      <c r="K71">
        <v>129.62045462534101</v>
      </c>
      <c r="L71">
        <v>28.363255852606802</v>
      </c>
      <c r="M71">
        <v>10.4002488361993</v>
      </c>
      <c r="N71">
        <v>5.7582037500435996</v>
      </c>
      <c r="O71">
        <v>593.13724252728605</v>
      </c>
      <c r="P71">
        <v>0.18144745998770101</v>
      </c>
      <c r="Q71">
        <v>6.4858504383815005E-2</v>
      </c>
      <c r="R71">
        <v>2.6432412145523301E-2</v>
      </c>
      <c r="S71">
        <v>1.23248182230997E-2</v>
      </c>
      <c r="T71">
        <v>0.21853366359705301</v>
      </c>
      <c r="U71">
        <v>4.7819043922708998E-2</v>
      </c>
      <c r="V71">
        <v>1.7534304188833501E-2</v>
      </c>
      <c r="W71">
        <v>9.7080461943488492E-3</v>
      </c>
    </row>
    <row r="72" spans="1:23">
      <c r="A72">
        <v>46</v>
      </c>
      <c r="B72">
        <v>25</v>
      </c>
      <c r="C72">
        <v>25</v>
      </c>
      <c r="D72" t="s">
        <v>763</v>
      </c>
      <c r="E72">
        <v>3</v>
      </c>
      <c r="F72">
        <v>33.396731979310601</v>
      </c>
      <c r="G72">
        <v>11.3433897844609</v>
      </c>
      <c r="H72">
        <v>3.8849625556389502</v>
      </c>
      <c r="I72">
        <v>1.8261491996361801</v>
      </c>
      <c r="J72">
        <v>164.524241473628</v>
      </c>
      <c r="K72">
        <v>52.882331404098302</v>
      </c>
      <c r="L72">
        <v>15.398306317114599</v>
      </c>
      <c r="M72">
        <v>5.2481685325663703</v>
      </c>
      <c r="N72">
        <v>3.2530905463753901</v>
      </c>
      <c r="O72">
        <v>280.86567837323099</v>
      </c>
      <c r="P72">
        <v>0.20298973379350899</v>
      </c>
      <c r="Q72">
        <v>6.8946616515957099E-2</v>
      </c>
      <c r="R72">
        <v>2.36133138851863E-2</v>
      </c>
      <c r="S72">
        <v>1.10995752557771E-2</v>
      </c>
      <c r="T72">
        <v>0.188283352064915</v>
      </c>
      <c r="U72">
        <v>5.4824449916064097E-2</v>
      </c>
      <c r="V72">
        <v>1.86856883438506E-2</v>
      </c>
      <c r="W72">
        <v>1.1582371207536701E-2</v>
      </c>
    </row>
    <row r="73" spans="1:23">
      <c r="B73">
        <v>80</v>
      </c>
      <c r="C73">
        <v>81</v>
      </c>
      <c r="D73" t="s">
        <v>769</v>
      </c>
      <c r="E73">
        <v>1</v>
      </c>
      <c r="F73">
        <v>28.688940244470501</v>
      </c>
      <c r="G73">
        <v>7.1739295381602703</v>
      </c>
      <c r="H73">
        <v>2.07247015820497</v>
      </c>
      <c r="I73">
        <v>0.73023685205961097</v>
      </c>
      <c r="J73">
        <v>91.2247138296363</v>
      </c>
      <c r="K73">
        <v>18.011717850122398</v>
      </c>
      <c r="L73">
        <v>3.7786407008732601</v>
      </c>
      <c r="M73">
        <v>1.3349074247013299</v>
      </c>
      <c r="N73">
        <v>0.63690663702433403</v>
      </c>
      <c r="O73">
        <v>131.25603000076799</v>
      </c>
      <c r="P73">
        <v>0.314486492093004</v>
      </c>
      <c r="Q73">
        <v>7.8640197781904897E-2</v>
      </c>
      <c r="R73">
        <v>2.27182971719193E-2</v>
      </c>
      <c r="S73">
        <v>8.0048138426977306E-3</v>
      </c>
      <c r="T73">
        <v>0.13722583145335801</v>
      </c>
      <c r="U73">
        <v>2.87883208173456E-2</v>
      </c>
      <c r="V73">
        <v>1.0170255985142301E-2</v>
      </c>
      <c r="W73">
        <v>4.8523990632705098E-3</v>
      </c>
    </row>
    <row r="74" spans="1:23">
      <c r="A74">
        <v>14</v>
      </c>
      <c r="B74">
        <v>69</v>
      </c>
      <c r="C74">
        <v>69</v>
      </c>
      <c r="D74" t="s">
        <v>767</v>
      </c>
      <c r="E74">
        <v>2</v>
      </c>
      <c r="F74">
        <v>23.526324905802898</v>
      </c>
      <c r="G74">
        <v>3.9803757464457399</v>
      </c>
      <c r="H74">
        <v>1.73916868014243</v>
      </c>
      <c r="I74">
        <v>1.09601223236539</v>
      </c>
      <c r="J74">
        <v>117.871980871236</v>
      </c>
      <c r="K74">
        <v>39.753843701008599</v>
      </c>
      <c r="L74">
        <v>6.3232277183480097</v>
      </c>
      <c r="M74">
        <v>2.9172794990770901</v>
      </c>
      <c r="N74">
        <v>1.90383353496689</v>
      </c>
      <c r="O74">
        <v>206.222114684133</v>
      </c>
      <c r="P74">
        <v>0.199592173915388</v>
      </c>
      <c r="Q74">
        <v>3.37686337077336E-2</v>
      </c>
      <c r="R74">
        <v>1.4754725145769001E-2</v>
      </c>
      <c r="S74">
        <v>9.2983270855749901E-3</v>
      </c>
      <c r="T74">
        <v>0.192771971919205</v>
      </c>
      <c r="U74">
        <v>3.06622193649464E-2</v>
      </c>
      <c r="V74">
        <v>1.4146298051231999E-2</v>
      </c>
      <c r="W74">
        <v>9.2319562229442199E-3</v>
      </c>
    </row>
    <row r="75" spans="1:23">
      <c r="A75">
        <v>53</v>
      </c>
      <c r="B75">
        <v>26</v>
      </c>
      <c r="C75">
        <v>26</v>
      </c>
      <c r="D75" t="s">
        <v>765</v>
      </c>
      <c r="E75">
        <v>3</v>
      </c>
      <c r="F75">
        <v>30.5359275706925</v>
      </c>
      <c r="G75">
        <v>6.8116393992564204</v>
      </c>
      <c r="H75">
        <v>2.6251708808410799</v>
      </c>
      <c r="I75">
        <v>2.0326973624737699</v>
      </c>
      <c r="J75">
        <v>159.36539183686301</v>
      </c>
      <c r="K75">
        <v>49.552658097652603</v>
      </c>
      <c r="L75">
        <v>10.0080675072583</v>
      </c>
      <c r="M75">
        <v>3.1151079084828099</v>
      </c>
      <c r="N75">
        <v>2.1210545405073802</v>
      </c>
      <c r="O75">
        <v>227.71952866073801</v>
      </c>
      <c r="P75">
        <v>0.191609528384626</v>
      </c>
      <c r="Q75">
        <v>4.2742274974162803E-2</v>
      </c>
      <c r="R75">
        <v>1.64726535076598E-2</v>
      </c>
      <c r="S75">
        <v>1.2754948480624801E-2</v>
      </c>
      <c r="T75">
        <v>0.217603902436832</v>
      </c>
      <c r="U75">
        <v>4.3949096356020401E-2</v>
      </c>
      <c r="V75">
        <v>1.3679581750425E-2</v>
      </c>
      <c r="W75">
        <v>9.3143286962769703E-3</v>
      </c>
    </row>
    <row r="76" spans="1:23">
      <c r="A76">
        <v>45</v>
      </c>
      <c r="B76">
        <v>70</v>
      </c>
      <c r="C76">
        <v>70</v>
      </c>
      <c r="D76" t="s">
        <v>771</v>
      </c>
      <c r="E76">
        <v>1</v>
      </c>
      <c r="F76">
        <v>74.101024444327507</v>
      </c>
      <c r="G76">
        <v>18.463845456321302</v>
      </c>
      <c r="H76">
        <v>6.8086539946313396</v>
      </c>
      <c r="I76">
        <v>1.98145695737641</v>
      </c>
      <c r="J76">
        <v>315.32464097962401</v>
      </c>
      <c r="K76">
        <v>74.690909274281907</v>
      </c>
      <c r="L76">
        <v>14.0586176409667</v>
      </c>
      <c r="M76">
        <v>4.9201011242766999</v>
      </c>
      <c r="N76">
        <v>2.2937397956771202</v>
      </c>
      <c r="O76">
        <v>304.37886585720798</v>
      </c>
      <c r="P76">
        <v>0.234999155835448</v>
      </c>
      <c r="Q76">
        <v>5.8555035213738199E-2</v>
      </c>
      <c r="R76">
        <v>2.1592521198085801E-2</v>
      </c>
      <c r="S76">
        <v>6.2838633581587099E-3</v>
      </c>
      <c r="T76">
        <v>0.245387961033147</v>
      </c>
      <c r="U76">
        <v>4.6187890218245299E-2</v>
      </c>
      <c r="V76">
        <v>1.61643979795392E-2</v>
      </c>
      <c r="W76">
        <v>7.5358050540643403E-3</v>
      </c>
    </row>
    <row r="77" spans="1:23">
      <c r="A77">
        <v>55</v>
      </c>
      <c r="B77">
        <v>71</v>
      </c>
      <c r="C77">
        <v>71</v>
      </c>
      <c r="D77" t="s">
        <v>4</v>
      </c>
      <c r="E77">
        <v>1</v>
      </c>
      <c r="F77">
        <v>30.706732656931599</v>
      </c>
      <c r="G77">
        <v>8.8836157017273898</v>
      </c>
      <c r="H77">
        <v>3.5786590575520201</v>
      </c>
      <c r="I77">
        <v>1.98657149459466</v>
      </c>
      <c r="J77">
        <v>200.469001872078</v>
      </c>
      <c r="K77">
        <v>26.232359530805301</v>
      </c>
      <c r="L77">
        <v>8.1435260502974902</v>
      </c>
      <c r="M77">
        <v>3.6098434644841202</v>
      </c>
      <c r="N77">
        <v>2.9183197174118001</v>
      </c>
      <c r="O77">
        <v>105.720048507942</v>
      </c>
      <c r="P77">
        <v>0.15317446772407201</v>
      </c>
      <c r="Q77">
        <v>4.4314161385390301E-2</v>
      </c>
      <c r="R77">
        <v>1.7851433509084899E-2</v>
      </c>
      <c r="S77">
        <v>9.9096193229031501E-3</v>
      </c>
      <c r="T77">
        <v>0.24813041519588999</v>
      </c>
      <c r="U77">
        <v>7.7029155446194403E-2</v>
      </c>
      <c r="V77">
        <v>3.4145306547158201E-2</v>
      </c>
      <c r="W77">
        <v>2.7604222270032001E-2</v>
      </c>
    </row>
    <row r="78" spans="1:23">
      <c r="A78">
        <v>31</v>
      </c>
      <c r="B78">
        <v>27</v>
      </c>
      <c r="C78">
        <v>27</v>
      </c>
      <c r="D78" t="s">
        <v>774</v>
      </c>
      <c r="E78">
        <v>3</v>
      </c>
      <c r="F78">
        <v>33.576060404434998</v>
      </c>
      <c r="G78">
        <v>7.5268453481936497</v>
      </c>
      <c r="H78">
        <v>3.3169025411129001</v>
      </c>
      <c r="I78">
        <v>1.77474223812833</v>
      </c>
      <c r="J78">
        <v>161.48696891650599</v>
      </c>
      <c r="K78">
        <v>136.975751335578</v>
      </c>
      <c r="L78">
        <v>34.210038760178101</v>
      </c>
      <c r="M78">
        <v>10.478043872581701</v>
      </c>
      <c r="N78">
        <v>5.0050799041929599</v>
      </c>
      <c r="O78">
        <v>652.71122016459196</v>
      </c>
      <c r="P78">
        <v>0.20791807927112099</v>
      </c>
      <c r="Q78">
        <v>4.6609614377524797E-2</v>
      </c>
      <c r="R78">
        <v>2.0539753537809301E-2</v>
      </c>
      <c r="S78">
        <v>1.0990002784967401E-2</v>
      </c>
      <c r="T78">
        <v>0.20985659063902401</v>
      </c>
      <c r="U78">
        <v>5.2412211868445302E-2</v>
      </c>
      <c r="V78">
        <v>1.6053108248912099E-2</v>
      </c>
      <c r="W78">
        <v>7.6681382969498299E-3</v>
      </c>
    </row>
    <row r="79" spans="1:23">
      <c r="A79">
        <v>42</v>
      </c>
      <c r="B79">
        <v>28</v>
      </c>
      <c r="C79">
        <v>28</v>
      </c>
      <c r="D79" t="s">
        <v>776</v>
      </c>
      <c r="E79">
        <v>3</v>
      </c>
      <c r="F79">
        <v>55.459024327321302</v>
      </c>
      <c r="G79">
        <v>11.4719910509065</v>
      </c>
      <c r="H79">
        <v>3.6461617038817402</v>
      </c>
      <c r="I79">
        <v>2.4053513934255699</v>
      </c>
      <c r="J79">
        <v>276.114597807172</v>
      </c>
      <c r="K79">
        <v>86.209185448556795</v>
      </c>
      <c r="L79">
        <v>11.0410910278044</v>
      </c>
      <c r="M79">
        <v>4.1560293212784298</v>
      </c>
      <c r="N79">
        <v>3.1155142468367898</v>
      </c>
      <c r="O79">
        <v>366.78150581027398</v>
      </c>
      <c r="P79">
        <v>0.20085509700595999</v>
      </c>
      <c r="Q79">
        <v>4.1547933872435397E-2</v>
      </c>
      <c r="R79">
        <v>1.32052478675107E-2</v>
      </c>
      <c r="S79">
        <v>8.71142421490286E-3</v>
      </c>
      <c r="T79">
        <v>0.23504234560057199</v>
      </c>
      <c r="U79">
        <v>3.0102638363439401E-2</v>
      </c>
      <c r="V79">
        <v>1.13310765549565E-2</v>
      </c>
      <c r="W79">
        <v>8.4941966742684092E-3</v>
      </c>
    </row>
    <row r="80" spans="1:23">
      <c r="A80">
        <v>43</v>
      </c>
      <c r="B80">
        <v>29</v>
      </c>
      <c r="C80">
        <v>29</v>
      </c>
      <c r="D80" t="s">
        <v>778</v>
      </c>
      <c r="E80">
        <v>3</v>
      </c>
      <c r="F80">
        <v>37.312993403144702</v>
      </c>
      <c r="G80">
        <v>7.8277895351781899</v>
      </c>
      <c r="H80">
        <v>3.2461682093158899</v>
      </c>
      <c r="I80">
        <v>2.2589288914528201</v>
      </c>
      <c r="J80">
        <v>182.71079692692101</v>
      </c>
      <c r="K80">
        <v>42.3161315878206</v>
      </c>
      <c r="L80">
        <v>8.4965701777692093</v>
      </c>
      <c r="M80">
        <v>3.1933912483685498</v>
      </c>
      <c r="N80">
        <v>2.2946258463660199</v>
      </c>
      <c r="O80">
        <v>166.29239516614501</v>
      </c>
      <c r="P80">
        <v>0.20421887502394701</v>
      </c>
      <c r="Q80">
        <v>4.28425121385086E-2</v>
      </c>
      <c r="R80">
        <v>1.77667016066613E-2</v>
      </c>
      <c r="S80">
        <v>1.23634121762182E-2</v>
      </c>
      <c r="T80">
        <v>0.25446823076630798</v>
      </c>
      <c r="U80">
        <v>5.1094159593288599E-2</v>
      </c>
      <c r="V80">
        <v>1.9203471362463701E-2</v>
      </c>
      <c r="W80">
        <v>1.3798741933288301E-2</v>
      </c>
    </row>
    <row r="81" spans="1:23">
      <c r="B81">
        <v>81</v>
      </c>
      <c r="C81">
        <v>82</v>
      </c>
      <c r="D81" t="s">
        <v>780</v>
      </c>
      <c r="E81">
        <v>2</v>
      </c>
      <c r="F81">
        <v>17.921905904193</v>
      </c>
      <c r="G81">
        <v>4.5263858546727596</v>
      </c>
      <c r="H81">
        <v>2.3419183601175102</v>
      </c>
      <c r="I81">
        <v>1.45184174471538</v>
      </c>
      <c r="J81">
        <v>72.807934400788199</v>
      </c>
      <c r="K81">
        <v>40.191443567871403</v>
      </c>
      <c r="L81">
        <v>8.9024025603407093</v>
      </c>
      <c r="M81">
        <v>3.5206078770117801</v>
      </c>
      <c r="N81">
        <v>2.6755018126972199</v>
      </c>
      <c r="O81">
        <v>200.44474217942201</v>
      </c>
      <c r="P81">
        <v>0.246153198160213</v>
      </c>
      <c r="Q81">
        <v>6.2168854149277399E-2</v>
      </c>
      <c r="R81">
        <v>3.2165702534916997E-2</v>
      </c>
      <c r="S81">
        <v>1.99407077904914E-2</v>
      </c>
      <c r="T81">
        <v>0.200511338590739</v>
      </c>
      <c r="U81">
        <v>4.4413250572429598E-2</v>
      </c>
      <c r="V81">
        <v>1.75639821665186E-2</v>
      </c>
      <c r="W81">
        <v>1.33478273543455E-2</v>
      </c>
    </row>
    <row r="82" spans="1:23">
      <c r="A82">
        <v>54</v>
      </c>
      <c r="B82">
        <v>30</v>
      </c>
      <c r="C82">
        <v>30</v>
      </c>
      <c r="D82" t="s">
        <v>782</v>
      </c>
      <c r="E82">
        <v>3</v>
      </c>
      <c r="F82">
        <v>43.073888408115202</v>
      </c>
      <c r="G82">
        <v>8.4673702340716499</v>
      </c>
      <c r="H82">
        <v>3.08902489902614</v>
      </c>
      <c r="I82">
        <v>1.64903613634677</v>
      </c>
      <c r="J82">
        <v>239.549698774277</v>
      </c>
      <c r="K82">
        <v>39.473267919458699</v>
      </c>
      <c r="L82">
        <v>15.837863128628801</v>
      </c>
      <c r="M82">
        <v>6.24848193144798</v>
      </c>
      <c r="N82">
        <v>3.40949389286371</v>
      </c>
      <c r="O82">
        <v>211.87694851180001</v>
      </c>
      <c r="P82">
        <v>0.179811908044614</v>
      </c>
      <c r="Q82">
        <v>3.5347029352979099E-2</v>
      </c>
      <c r="R82">
        <v>1.2895131635865101E-2</v>
      </c>
      <c r="S82">
        <v>6.8838998537027003E-3</v>
      </c>
      <c r="T82">
        <v>0.18630279601775701</v>
      </c>
      <c r="U82">
        <v>7.4750288976088403E-2</v>
      </c>
      <c r="V82">
        <v>2.9491088933159701E-2</v>
      </c>
      <c r="W82">
        <v>1.6091858584955199E-2</v>
      </c>
    </row>
    <row r="83" spans="1:23">
      <c r="B83">
        <v>82</v>
      </c>
      <c r="C83">
        <v>83</v>
      </c>
      <c r="D83" t="s">
        <v>784</v>
      </c>
      <c r="E83">
        <v>1</v>
      </c>
      <c r="F83">
        <v>85.247538455903907</v>
      </c>
      <c r="G83">
        <v>14.0258995265827</v>
      </c>
      <c r="H83">
        <v>6.50510949998562</v>
      </c>
      <c r="I83">
        <v>3.1995047029668</v>
      </c>
      <c r="J83">
        <v>476.64251500632702</v>
      </c>
      <c r="K83">
        <v>120.63358846641199</v>
      </c>
      <c r="L83">
        <v>16.5028932646442</v>
      </c>
      <c r="M83">
        <v>4.5136997985048204</v>
      </c>
      <c r="N83">
        <v>2.5979378142203098</v>
      </c>
      <c r="O83">
        <v>423.00679242498398</v>
      </c>
      <c r="P83">
        <v>0.17885005170966001</v>
      </c>
      <c r="Q83">
        <v>2.9426455016075399E-2</v>
      </c>
      <c r="R83">
        <v>1.36477743700628E-2</v>
      </c>
      <c r="S83">
        <v>6.7125877407816399E-3</v>
      </c>
      <c r="T83">
        <v>0.28518120897031601</v>
      </c>
      <c r="U83">
        <v>3.9013305602110103E-2</v>
      </c>
      <c r="V83">
        <v>1.06705137584884E-2</v>
      </c>
      <c r="W83">
        <v>6.1415983401283802E-3</v>
      </c>
    </row>
    <row r="84" spans="1:23">
      <c r="B84">
        <v>83</v>
      </c>
      <c r="C84">
        <v>84</v>
      </c>
      <c r="D84" t="s">
        <v>786</v>
      </c>
      <c r="E84">
        <v>2</v>
      </c>
      <c r="F84">
        <v>23.718784227769401</v>
      </c>
      <c r="G84">
        <v>6.8160837926757996</v>
      </c>
      <c r="H84">
        <v>2.9009036184790098</v>
      </c>
      <c r="I84">
        <v>2.2162789347596101</v>
      </c>
      <c r="J84">
        <v>121.224455077027</v>
      </c>
      <c r="K84">
        <v>31.3096169790308</v>
      </c>
      <c r="L84">
        <v>7.8278762161167803</v>
      </c>
      <c r="M84">
        <v>2.6630723004543899</v>
      </c>
      <c r="N84">
        <v>1.89646545020665</v>
      </c>
      <c r="O84">
        <v>158.63912423366199</v>
      </c>
      <c r="P84">
        <v>0.19566006060986901</v>
      </c>
      <c r="Q84">
        <v>5.6226969948801303E-2</v>
      </c>
      <c r="R84">
        <v>2.3930019867985802E-2</v>
      </c>
      <c r="S84">
        <v>1.82824408932288E-2</v>
      </c>
      <c r="T84">
        <v>0.19736377851477799</v>
      </c>
      <c r="U84">
        <v>4.93439197545429E-2</v>
      </c>
      <c r="V84">
        <v>1.6786983118564799E-2</v>
      </c>
      <c r="W84">
        <v>1.1954588499954901E-2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3A7EA-CAD1-4DB2-9D8C-2D5973F39742}">
  <dimension ref="A1:W84"/>
  <sheetViews>
    <sheetView workbookViewId="0">
      <selection activeCell="S11" sqref="S11"/>
    </sheetView>
  </sheetViews>
  <sheetFormatPr defaultRowHeight="14"/>
  <sheetData>
    <row r="1" spans="1:23">
      <c r="A1" t="s">
        <v>814</v>
      </c>
      <c r="B1" t="s">
        <v>815</v>
      </c>
      <c r="C1" t="s">
        <v>816</v>
      </c>
      <c r="D1" t="s">
        <v>817</v>
      </c>
      <c r="E1" t="s">
        <v>818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633</v>
      </c>
      <c r="S1" t="s">
        <v>634</v>
      </c>
      <c r="T1" t="s">
        <v>635</v>
      </c>
      <c r="U1" t="s">
        <v>636</v>
      </c>
      <c r="V1" t="s">
        <v>637</v>
      </c>
      <c r="W1" t="s">
        <v>638</v>
      </c>
    </row>
    <row r="2" spans="1:23">
      <c r="A2">
        <v>67</v>
      </c>
      <c r="B2">
        <v>1</v>
      </c>
      <c r="C2">
        <v>1</v>
      </c>
      <c r="D2" t="s">
        <v>641</v>
      </c>
      <c r="E2">
        <v>3</v>
      </c>
      <c r="F2">
        <v>35.2650783215987</v>
      </c>
      <c r="G2">
        <v>11.581834568814401</v>
      </c>
      <c r="H2">
        <v>5.0980260656051897</v>
      </c>
      <c r="I2">
        <v>3.1410086068894398</v>
      </c>
      <c r="J2">
        <v>145.866943923636</v>
      </c>
      <c r="K2">
        <v>89.144947433094003</v>
      </c>
      <c r="L2">
        <v>17.5562650992321</v>
      </c>
      <c r="M2">
        <v>7.9855291537080904</v>
      </c>
      <c r="N2">
        <v>5.1197813299142902</v>
      </c>
      <c r="O2">
        <v>377.70153972821299</v>
      </c>
      <c r="P2">
        <v>0.241761960407291</v>
      </c>
      <c r="Q2">
        <v>7.9399994661420503E-2</v>
      </c>
      <c r="R2">
        <v>3.4949838040578197E-2</v>
      </c>
      <c r="S2">
        <v>2.1533381878034E-2</v>
      </c>
      <c r="T2">
        <v>0.23601954997917399</v>
      </c>
      <c r="U2">
        <v>4.6481846782687998E-2</v>
      </c>
      <c r="V2">
        <v>2.11424320892479E-2</v>
      </c>
      <c r="W2">
        <v>1.3555097852125201E-2</v>
      </c>
    </row>
    <row r="3" spans="1:23">
      <c r="A3">
        <v>80</v>
      </c>
      <c r="B3">
        <v>2</v>
      </c>
      <c r="C3">
        <v>2</v>
      </c>
      <c r="D3" t="s">
        <v>643</v>
      </c>
      <c r="E3">
        <v>3</v>
      </c>
      <c r="F3">
        <v>83.201179561889504</v>
      </c>
      <c r="G3">
        <v>14.518819913528899</v>
      </c>
      <c r="H3">
        <v>4.5757186181079899</v>
      </c>
      <c r="I3">
        <v>2.1636262756915698</v>
      </c>
      <c r="J3">
        <v>300.39016179838302</v>
      </c>
      <c r="K3">
        <v>22.443385911556302</v>
      </c>
      <c r="L3">
        <v>4.9897247158454698</v>
      </c>
      <c r="M3">
        <v>1.8930052068816601</v>
      </c>
      <c r="N3">
        <v>1.21739497141488</v>
      </c>
      <c r="O3">
        <v>124.782070095934</v>
      </c>
      <c r="P3">
        <v>0.27697704566547299</v>
      </c>
      <c r="Q3">
        <v>4.8333207141696498E-2</v>
      </c>
      <c r="R3">
        <v>1.52325848180712E-2</v>
      </c>
      <c r="S3">
        <v>7.2027201647960701E-3</v>
      </c>
      <c r="T3">
        <v>0.179860663429461</v>
      </c>
      <c r="U3">
        <v>3.9987513526657303E-2</v>
      </c>
      <c r="V3">
        <v>1.51704904833386E-2</v>
      </c>
      <c r="W3">
        <v>9.7561690592160508E-3</v>
      </c>
    </row>
    <row r="4" spans="1:23">
      <c r="A4">
        <v>3</v>
      </c>
      <c r="B4">
        <v>31</v>
      </c>
      <c r="C4">
        <v>31</v>
      </c>
      <c r="D4" t="s">
        <v>819</v>
      </c>
      <c r="E4">
        <v>2</v>
      </c>
      <c r="F4">
        <v>46.244879945626799</v>
      </c>
      <c r="G4">
        <v>18.243324149200401</v>
      </c>
      <c r="H4">
        <v>7.8832518042791602</v>
      </c>
      <c r="I4">
        <v>4.2061971415483796</v>
      </c>
      <c r="J4">
        <v>230.591540579206</v>
      </c>
      <c r="K4">
        <v>91.717540394867598</v>
      </c>
      <c r="L4">
        <v>25.223773462363098</v>
      </c>
      <c r="M4">
        <v>10.5129956098636</v>
      </c>
      <c r="N4">
        <v>6.2471368337136202</v>
      </c>
      <c r="O4">
        <v>381.15209949248299</v>
      </c>
      <c r="P4">
        <v>0.20054890057747901</v>
      </c>
      <c r="Q4">
        <v>7.9115322719022302E-2</v>
      </c>
      <c r="R4">
        <v>3.4187081557622699E-2</v>
      </c>
      <c r="S4">
        <v>1.82408996053504E-2</v>
      </c>
      <c r="T4">
        <v>0.2406323893191</v>
      </c>
      <c r="U4">
        <v>6.61777109346883E-2</v>
      </c>
      <c r="V4">
        <v>2.7582153224033099E-2</v>
      </c>
      <c r="W4">
        <v>1.63901414737893E-2</v>
      </c>
    </row>
    <row r="5" spans="1:23">
      <c r="A5">
        <v>9</v>
      </c>
      <c r="B5">
        <v>43</v>
      </c>
      <c r="C5">
        <v>43</v>
      </c>
      <c r="D5" t="s">
        <v>213</v>
      </c>
      <c r="E5">
        <v>1</v>
      </c>
      <c r="F5">
        <v>41.384459472341199</v>
      </c>
      <c r="G5">
        <v>23.7560276053166</v>
      </c>
      <c r="H5">
        <v>7.5630675823986202</v>
      </c>
      <c r="I5">
        <v>3.4323114123308698</v>
      </c>
      <c r="J5">
        <v>193.09359998843601</v>
      </c>
      <c r="K5">
        <v>42.422300862799197</v>
      </c>
      <c r="L5">
        <v>19.101972514131202</v>
      </c>
      <c r="M5">
        <v>6.6559650848512604</v>
      </c>
      <c r="N5">
        <v>3.43431932228106</v>
      </c>
      <c r="O5">
        <v>185.22643726435399</v>
      </c>
      <c r="P5">
        <v>0.21432330991197801</v>
      </c>
      <c r="Q5">
        <v>0.123028560277188</v>
      </c>
      <c r="R5">
        <v>3.9167883258956003E-2</v>
      </c>
      <c r="S5">
        <v>1.7775376359115101E-2</v>
      </c>
      <c r="T5">
        <v>0.22902940578754599</v>
      </c>
      <c r="U5">
        <v>0.103127678728005</v>
      </c>
      <c r="V5">
        <v>3.5934206710200402E-2</v>
      </c>
      <c r="W5">
        <v>1.85411940811646E-2</v>
      </c>
    </row>
    <row r="6" spans="1:23">
      <c r="A6">
        <v>81</v>
      </c>
      <c r="B6">
        <v>3</v>
      </c>
      <c r="C6">
        <v>3</v>
      </c>
      <c r="D6" t="s">
        <v>649</v>
      </c>
      <c r="E6">
        <v>3</v>
      </c>
      <c r="F6">
        <v>70.177740887556098</v>
      </c>
      <c r="G6">
        <v>14.806231692723699</v>
      </c>
      <c r="H6">
        <v>7.48519750771736</v>
      </c>
      <c r="I6">
        <v>4.5592839695627498</v>
      </c>
      <c r="J6">
        <v>311.24323804946198</v>
      </c>
      <c r="K6">
        <v>32.014549492213099</v>
      </c>
      <c r="L6">
        <v>12.513176672452101</v>
      </c>
      <c r="M6">
        <v>6.1178516609277001</v>
      </c>
      <c r="N6">
        <v>4.0073972504483502</v>
      </c>
      <c r="O6">
        <v>163.53309221342801</v>
      </c>
      <c r="P6">
        <v>0.22547555194244401</v>
      </c>
      <c r="Q6">
        <v>4.7571255798240598E-2</v>
      </c>
      <c r="R6">
        <v>2.4049349809578301E-2</v>
      </c>
      <c r="S6">
        <v>1.4648620153598999E-2</v>
      </c>
      <c r="T6">
        <v>0.19576801893057</v>
      </c>
      <c r="U6">
        <v>7.6517703561314196E-2</v>
      </c>
      <c r="V6">
        <v>3.7410481133342999E-2</v>
      </c>
      <c r="W6">
        <v>2.4505115118952599E-2</v>
      </c>
    </row>
    <row r="7" spans="1:23">
      <c r="A7">
        <v>28</v>
      </c>
      <c r="B7">
        <v>44</v>
      </c>
      <c r="C7">
        <v>44</v>
      </c>
      <c r="D7" t="s">
        <v>651</v>
      </c>
      <c r="E7">
        <v>1</v>
      </c>
      <c r="F7">
        <v>88.971182356135401</v>
      </c>
      <c r="G7">
        <v>54.445190370184697</v>
      </c>
      <c r="H7">
        <v>19.826515414555299</v>
      </c>
      <c r="I7">
        <v>8.9178975876370892</v>
      </c>
      <c r="J7">
        <v>369.68530023061697</v>
      </c>
      <c r="K7">
        <v>109.383642760824</v>
      </c>
      <c r="L7">
        <v>59.399045967768899</v>
      </c>
      <c r="M7">
        <v>20.9917162483632</v>
      </c>
      <c r="N7">
        <v>10.157284354380099</v>
      </c>
      <c r="O7">
        <v>467.425044029589</v>
      </c>
      <c r="P7">
        <v>0.240667352206413</v>
      </c>
      <c r="Q7">
        <v>0.14727442594071399</v>
      </c>
      <c r="R7">
        <v>5.3630791925421702E-2</v>
      </c>
      <c r="S7">
        <v>2.4122943438849E-2</v>
      </c>
      <c r="T7">
        <v>0.23401322662955101</v>
      </c>
      <c r="U7">
        <v>0.12707715756028001</v>
      </c>
      <c r="V7">
        <v>4.4909267307111499E-2</v>
      </c>
      <c r="W7">
        <v>2.1730295550310998E-2</v>
      </c>
    </row>
    <row r="8" spans="1:23">
      <c r="A8">
        <v>61</v>
      </c>
      <c r="B8">
        <v>4</v>
      </c>
      <c r="C8">
        <v>4</v>
      </c>
      <c r="D8" t="s">
        <v>204</v>
      </c>
      <c r="E8">
        <v>3</v>
      </c>
      <c r="F8">
        <v>98.941945893321105</v>
      </c>
      <c r="G8">
        <v>26.191685858652299</v>
      </c>
      <c r="H8">
        <v>11.1217977721404</v>
      </c>
      <c r="I8">
        <v>7.2946770348728798</v>
      </c>
      <c r="J8">
        <v>448.36507345234298</v>
      </c>
      <c r="K8">
        <v>56.571220250381401</v>
      </c>
      <c r="L8">
        <v>16.898386190131902</v>
      </c>
      <c r="M8">
        <v>5.4513851404285498</v>
      </c>
      <c r="N8">
        <v>3.47784768859088</v>
      </c>
      <c r="O8">
        <v>276.00379874727003</v>
      </c>
      <c r="P8">
        <v>0.22067273244876801</v>
      </c>
      <c r="Q8">
        <v>5.8415981550436799E-2</v>
      </c>
      <c r="R8">
        <v>2.4805227772324499E-2</v>
      </c>
      <c r="S8">
        <v>1.6269503283797199E-2</v>
      </c>
      <c r="T8">
        <v>0.20496536825633399</v>
      </c>
      <c r="U8">
        <v>6.12251942430884E-2</v>
      </c>
      <c r="V8">
        <v>1.9751123590223602E-2</v>
      </c>
      <c r="W8">
        <v>1.2600723991395E-2</v>
      </c>
    </row>
    <row r="9" spans="1:23">
      <c r="A9">
        <v>60</v>
      </c>
      <c r="B9">
        <v>5</v>
      </c>
      <c r="C9">
        <v>5</v>
      </c>
      <c r="D9" t="s">
        <v>203</v>
      </c>
      <c r="E9">
        <v>3</v>
      </c>
      <c r="F9">
        <v>32.174605077283303</v>
      </c>
      <c r="G9">
        <v>8.0066515624251995</v>
      </c>
      <c r="H9">
        <v>4.1782948292755098</v>
      </c>
      <c r="I9">
        <v>2.2627393463137002</v>
      </c>
      <c r="J9">
        <v>163.115978328728</v>
      </c>
      <c r="K9">
        <v>68.987910169349107</v>
      </c>
      <c r="L9">
        <v>11.241557337656699</v>
      </c>
      <c r="M9">
        <v>3.3980422817154099</v>
      </c>
      <c r="N9">
        <v>2.3765346739903599</v>
      </c>
      <c r="O9">
        <v>357.47338774945399</v>
      </c>
      <c r="P9">
        <v>0.197249867284257</v>
      </c>
      <c r="Q9">
        <v>4.9085636149570698E-2</v>
      </c>
      <c r="R9">
        <v>2.5615484590080999E-2</v>
      </c>
      <c r="S9">
        <v>1.3871966250624399E-2</v>
      </c>
      <c r="T9">
        <v>0.19298754126475401</v>
      </c>
      <c r="U9">
        <v>3.1447256559237101E-2</v>
      </c>
      <c r="V9">
        <v>9.5057209799825106E-3</v>
      </c>
      <c r="W9">
        <v>6.6481443246791498E-3</v>
      </c>
    </row>
    <row r="10" spans="1:23">
      <c r="A10">
        <v>78</v>
      </c>
      <c r="B10">
        <v>32</v>
      </c>
      <c r="C10">
        <v>32</v>
      </c>
      <c r="D10" t="s">
        <v>655</v>
      </c>
      <c r="E10">
        <v>2</v>
      </c>
      <c r="F10">
        <v>16.935044442895801</v>
      </c>
      <c r="G10">
        <v>2.2926837267814602</v>
      </c>
      <c r="H10">
        <v>0.88212445651913896</v>
      </c>
      <c r="I10">
        <v>0.50947721360071696</v>
      </c>
      <c r="J10">
        <v>156.71885361979301</v>
      </c>
      <c r="K10">
        <v>18.722051657053701</v>
      </c>
      <c r="L10">
        <v>6.6498010958296696</v>
      </c>
      <c r="M10">
        <v>2.5094019261774401</v>
      </c>
      <c r="N10">
        <v>1.42026425179603</v>
      </c>
      <c r="O10">
        <v>91.537569371364199</v>
      </c>
      <c r="P10">
        <v>0.10806003267469701</v>
      </c>
      <c r="Q10">
        <v>1.46292783148071E-2</v>
      </c>
      <c r="R10">
        <v>5.62870666894498E-3</v>
      </c>
      <c r="S10">
        <v>3.2508993132168598E-3</v>
      </c>
      <c r="T10">
        <v>0.20452860815103299</v>
      </c>
      <c r="U10">
        <v>7.2645593951175397E-2</v>
      </c>
      <c r="V10">
        <v>2.7413901673496499E-2</v>
      </c>
      <c r="W10">
        <v>1.5515643047436399E-2</v>
      </c>
    </row>
    <row r="11" spans="1:23">
      <c r="A11">
        <v>32</v>
      </c>
      <c r="B11">
        <v>6</v>
      </c>
      <c r="C11">
        <v>6</v>
      </c>
      <c r="D11" t="s">
        <v>657</v>
      </c>
      <c r="E11">
        <v>3</v>
      </c>
      <c r="F11">
        <v>37.468544184122798</v>
      </c>
      <c r="G11">
        <v>7.3685572194734998</v>
      </c>
      <c r="H11">
        <v>3.8448876233273701</v>
      </c>
      <c r="I11">
        <v>2.5703795585337699</v>
      </c>
      <c r="J11">
        <v>213.173473629114</v>
      </c>
      <c r="K11">
        <v>45.225866996115698</v>
      </c>
      <c r="L11">
        <v>8.6647426510212604</v>
      </c>
      <c r="M11">
        <v>4.0491520668548704</v>
      </c>
      <c r="N11">
        <v>2.2471323221360899</v>
      </c>
      <c r="O11">
        <v>213.18133692545601</v>
      </c>
      <c r="P11">
        <v>0.17576550940531999</v>
      </c>
      <c r="Q11">
        <v>3.4566013744719203E-2</v>
      </c>
      <c r="R11">
        <v>1.8036426192579801E-2</v>
      </c>
      <c r="S11">
        <v>1.20576895181893E-2</v>
      </c>
      <c r="T11">
        <v>0.21214740299677401</v>
      </c>
      <c r="U11">
        <v>4.0644940012038097E-2</v>
      </c>
      <c r="V11">
        <v>1.89939331709452E-2</v>
      </c>
      <c r="W11">
        <v>1.05409430044144E-2</v>
      </c>
    </row>
    <row r="12" spans="1:23">
      <c r="A12">
        <v>34</v>
      </c>
      <c r="B12">
        <v>7</v>
      </c>
      <c r="C12">
        <v>7</v>
      </c>
      <c r="D12" t="s">
        <v>659</v>
      </c>
      <c r="E12">
        <v>3</v>
      </c>
      <c r="F12">
        <v>34.025780104620303</v>
      </c>
      <c r="G12">
        <v>8.3987380341578195</v>
      </c>
      <c r="H12">
        <v>3.2323302518617001</v>
      </c>
      <c r="I12">
        <v>2.2049139765463801</v>
      </c>
      <c r="J12">
        <v>135.367221447947</v>
      </c>
      <c r="K12">
        <v>19.7415934584042</v>
      </c>
      <c r="L12">
        <v>7.4513131442155203</v>
      </c>
      <c r="M12">
        <v>3.5292060632559199</v>
      </c>
      <c r="N12">
        <v>1.9635648549416</v>
      </c>
      <c r="O12">
        <v>89.206391431090594</v>
      </c>
      <c r="P12">
        <v>0.25135907896066501</v>
      </c>
      <c r="Q12">
        <v>6.2044104505664201E-2</v>
      </c>
      <c r="R12">
        <v>2.3878234459474599E-2</v>
      </c>
      <c r="S12">
        <v>1.6288389116372901E-2</v>
      </c>
      <c r="T12">
        <v>0.22130245537007301</v>
      </c>
      <c r="U12">
        <v>8.3528915637972503E-2</v>
      </c>
      <c r="V12">
        <v>3.95622556482641E-2</v>
      </c>
      <c r="W12">
        <v>2.2011481727275101E-2</v>
      </c>
    </row>
    <row r="13" spans="1:23">
      <c r="A13">
        <v>27</v>
      </c>
      <c r="B13">
        <v>8</v>
      </c>
      <c r="C13">
        <v>8</v>
      </c>
      <c r="D13" s="86" t="s">
        <v>665</v>
      </c>
      <c r="E13">
        <v>3</v>
      </c>
      <c r="F13">
        <v>86.272474331865396</v>
      </c>
      <c r="G13">
        <v>26.948236117457299</v>
      </c>
      <c r="H13">
        <v>8.1594500344566505</v>
      </c>
      <c r="I13">
        <v>2.9084784845861398</v>
      </c>
      <c r="J13">
        <v>406.71060053561001</v>
      </c>
      <c r="K13">
        <v>114.45197033996099</v>
      </c>
      <c r="L13">
        <v>29.025484216230399</v>
      </c>
      <c r="M13">
        <v>7.18955641133818</v>
      </c>
      <c r="N13">
        <v>3.4047934623778602</v>
      </c>
      <c r="O13">
        <v>470.89553745941498</v>
      </c>
      <c r="P13">
        <v>0.212122512219377</v>
      </c>
      <c r="Q13">
        <v>6.6258996155911201E-2</v>
      </c>
      <c r="R13">
        <v>2.00620540101763E-2</v>
      </c>
      <c r="S13">
        <v>7.1512236975280899E-3</v>
      </c>
      <c r="T13">
        <v>0.24305172004273901</v>
      </c>
      <c r="U13">
        <v>6.1638902701922502E-2</v>
      </c>
      <c r="V13">
        <v>1.52678372152928E-2</v>
      </c>
      <c r="W13">
        <v>7.2304644905905697E-3</v>
      </c>
    </row>
    <row r="14" spans="1:23">
      <c r="A14">
        <v>23</v>
      </c>
      <c r="B14">
        <v>33</v>
      </c>
      <c r="C14">
        <v>33</v>
      </c>
      <c r="D14" t="s">
        <v>661</v>
      </c>
      <c r="E14">
        <v>2</v>
      </c>
      <c r="F14">
        <v>28.592569843788102</v>
      </c>
      <c r="G14">
        <v>8.5339243298973795</v>
      </c>
      <c r="H14">
        <v>3.3054231268032002</v>
      </c>
      <c r="I14">
        <v>1.7101689813459799</v>
      </c>
      <c r="J14">
        <v>163.27824987704599</v>
      </c>
      <c r="K14">
        <v>46.493147057343897</v>
      </c>
      <c r="L14">
        <v>6.4551416966553798</v>
      </c>
      <c r="M14">
        <v>2.6575151459973698</v>
      </c>
      <c r="N14">
        <v>1.70772551413869</v>
      </c>
      <c r="O14">
        <v>288.23160990860799</v>
      </c>
      <c r="P14">
        <v>0.17511560704085999</v>
      </c>
      <c r="Q14">
        <v>5.2266142834846201E-2</v>
      </c>
      <c r="R14">
        <v>2.0244111688435599E-2</v>
      </c>
      <c r="S14">
        <v>1.0473954630416501E-2</v>
      </c>
      <c r="T14">
        <v>0.16130481688696799</v>
      </c>
      <c r="U14">
        <v>2.23956758202273E-2</v>
      </c>
      <c r="V14">
        <v>9.2200683569717192E-3</v>
      </c>
      <c r="W14">
        <v>5.9248377188059797E-3</v>
      </c>
    </row>
    <row r="15" spans="1:23">
      <c r="A15">
        <v>8</v>
      </c>
      <c r="B15">
        <v>45</v>
      </c>
      <c r="C15">
        <v>45</v>
      </c>
      <c r="D15" t="s">
        <v>663</v>
      </c>
      <c r="E15">
        <v>1</v>
      </c>
      <c r="F15">
        <v>44.480728920636402</v>
      </c>
      <c r="G15">
        <v>11.634702415523201</v>
      </c>
      <c r="H15">
        <v>5.2752254468595803</v>
      </c>
      <c r="I15">
        <v>3.0270473735832302</v>
      </c>
      <c r="J15">
        <v>200.45704778539499</v>
      </c>
      <c r="K15">
        <v>37.907565739106701</v>
      </c>
      <c r="L15">
        <v>8.8652108761587591</v>
      </c>
      <c r="M15">
        <v>4.9188079074434903</v>
      </c>
      <c r="N15">
        <v>3.0605805283794898</v>
      </c>
      <c r="O15">
        <v>169.958929550584</v>
      </c>
      <c r="P15">
        <v>0.22189655795119001</v>
      </c>
      <c r="Q15">
        <v>5.8040874811142097E-2</v>
      </c>
      <c r="R15">
        <v>2.63159889120342E-2</v>
      </c>
      <c r="S15">
        <v>1.51007280962449E-2</v>
      </c>
      <c r="T15">
        <v>0.223039565142851</v>
      </c>
      <c r="U15">
        <v>5.2160900869408298E-2</v>
      </c>
      <c r="V15">
        <v>2.8941156080766701E-2</v>
      </c>
      <c r="W15">
        <v>1.8007765384687201E-2</v>
      </c>
    </row>
    <row r="16" spans="1:23">
      <c r="A16">
        <v>56</v>
      </c>
      <c r="B16">
        <v>46</v>
      </c>
      <c r="C16">
        <v>46</v>
      </c>
      <c r="D16" t="s">
        <v>667</v>
      </c>
      <c r="E16">
        <v>1</v>
      </c>
      <c r="F16">
        <v>39.934415824368102</v>
      </c>
      <c r="G16">
        <v>10.579386543993399</v>
      </c>
      <c r="H16">
        <v>4.0523032966629797</v>
      </c>
      <c r="I16">
        <v>2.4635351526777298</v>
      </c>
      <c r="J16">
        <v>197.660672983989</v>
      </c>
      <c r="K16">
        <v>55.708214379065303</v>
      </c>
      <c r="L16">
        <v>12.615381560009499</v>
      </c>
      <c r="M16">
        <v>4.3458856570394397</v>
      </c>
      <c r="N16">
        <v>2.9928848354859499</v>
      </c>
      <c r="O16">
        <v>245.836520206279</v>
      </c>
      <c r="P16">
        <v>0.20203521126128501</v>
      </c>
      <c r="Q16">
        <v>5.3522971384653499E-2</v>
      </c>
      <c r="R16">
        <v>2.0501312858482501E-2</v>
      </c>
      <c r="S16">
        <v>1.24634562631348E-2</v>
      </c>
      <c r="T16">
        <v>0.22660674798163</v>
      </c>
      <c r="U16">
        <v>5.13161411063906E-2</v>
      </c>
      <c r="V16">
        <v>1.7677949774886299E-2</v>
      </c>
      <c r="W16">
        <v>1.21742889664019E-2</v>
      </c>
    </row>
    <row r="17" spans="1:23">
      <c r="A17">
        <v>47</v>
      </c>
      <c r="B17">
        <v>34</v>
      </c>
      <c r="C17">
        <v>34</v>
      </c>
      <c r="D17" t="s">
        <v>672</v>
      </c>
      <c r="E17">
        <v>2</v>
      </c>
      <c r="F17">
        <v>76.746411923781494</v>
      </c>
      <c r="G17">
        <v>21.4730627595799</v>
      </c>
      <c r="H17">
        <v>4.0170047173273904</v>
      </c>
      <c r="I17">
        <v>1.9536523389899501</v>
      </c>
      <c r="J17">
        <v>270.58055812092402</v>
      </c>
      <c r="K17">
        <v>71.787128738210697</v>
      </c>
      <c r="L17">
        <v>22.105311088891</v>
      </c>
      <c r="M17">
        <v>5.8914747204395601</v>
      </c>
      <c r="N17">
        <v>2.29622235693419</v>
      </c>
      <c r="O17">
        <v>264.958387502189</v>
      </c>
      <c r="P17">
        <v>0.283636091435228</v>
      </c>
      <c r="Q17">
        <v>7.9359222660718598E-2</v>
      </c>
      <c r="R17">
        <v>1.4845873425732899E-2</v>
      </c>
      <c r="S17">
        <v>7.2202243670325102E-3</v>
      </c>
      <c r="T17">
        <v>0.27093737026014197</v>
      </c>
      <c r="U17">
        <v>8.3429369031423298E-2</v>
      </c>
      <c r="V17">
        <v>2.2235471675305599E-2</v>
      </c>
      <c r="W17">
        <v>8.6663508884587109E-3</v>
      </c>
    </row>
    <row r="18" spans="1:23">
      <c r="A18">
        <v>69</v>
      </c>
      <c r="B18">
        <v>47</v>
      </c>
      <c r="C18">
        <v>47</v>
      </c>
      <c r="D18" t="s">
        <v>211</v>
      </c>
      <c r="E18">
        <v>1</v>
      </c>
      <c r="F18">
        <v>26.950174894845102</v>
      </c>
      <c r="G18">
        <v>12.1776997106658</v>
      </c>
      <c r="H18">
        <v>3.7554247069570699</v>
      </c>
      <c r="I18">
        <v>1.72480871835343</v>
      </c>
      <c r="J18">
        <v>122.60521132053699</v>
      </c>
      <c r="K18">
        <v>54.0717045684002</v>
      </c>
      <c r="L18">
        <v>31.8518193931905</v>
      </c>
      <c r="M18">
        <v>11.0851473517926</v>
      </c>
      <c r="N18">
        <v>4.7873868866191298</v>
      </c>
      <c r="O18">
        <v>203.3613932671</v>
      </c>
      <c r="P18">
        <v>0.21981263768949399</v>
      </c>
      <c r="Q18">
        <v>9.9324486940678705E-2</v>
      </c>
      <c r="R18">
        <v>3.0630220905854801E-2</v>
      </c>
      <c r="S18">
        <v>1.40679886260635E-2</v>
      </c>
      <c r="T18">
        <v>0.26588972321497201</v>
      </c>
      <c r="U18">
        <v>0.15662667766716001</v>
      </c>
      <c r="V18">
        <v>5.4509595817103497E-2</v>
      </c>
      <c r="W18">
        <v>2.3541276983342001E-2</v>
      </c>
    </row>
    <row r="19" spans="1:23">
      <c r="B19">
        <v>72</v>
      </c>
      <c r="C19">
        <v>72</v>
      </c>
      <c r="D19" t="s">
        <v>669</v>
      </c>
      <c r="E19">
        <v>3</v>
      </c>
      <c r="F19">
        <v>51.487284877548802</v>
      </c>
      <c r="G19">
        <v>29.9765935517641</v>
      </c>
      <c r="H19">
        <v>9.8006790953542104</v>
      </c>
      <c r="I19">
        <v>3.05655269343778</v>
      </c>
      <c r="J19">
        <v>216.18892856598299</v>
      </c>
      <c r="K19">
        <v>77.335241490763195</v>
      </c>
      <c r="L19">
        <v>41.0081905726109</v>
      </c>
      <c r="M19">
        <v>12.9973680020203</v>
      </c>
      <c r="N19">
        <v>5.6594565870320404</v>
      </c>
      <c r="O19">
        <v>326.57606691456903</v>
      </c>
      <c r="P19">
        <v>0.23815874947469601</v>
      </c>
      <c r="Q19">
        <v>0.13865924471990301</v>
      </c>
      <c r="R19">
        <v>4.53338621934238E-2</v>
      </c>
      <c r="S19">
        <v>1.4138340541823301E-2</v>
      </c>
      <c r="T19">
        <v>0.23680621247420999</v>
      </c>
      <c r="U19">
        <v>0.125570103651651</v>
      </c>
      <c r="V19">
        <v>3.9798899303360197E-2</v>
      </c>
      <c r="W19">
        <v>1.7329673421881599E-2</v>
      </c>
    </row>
    <row r="20" spans="1:23">
      <c r="A20">
        <v>38</v>
      </c>
      <c r="B20">
        <v>48</v>
      </c>
      <c r="C20">
        <v>48</v>
      </c>
      <c r="D20" t="s">
        <v>674</v>
      </c>
      <c r="E20">
        <v>1</v>
      </c>
      <c r="F20">
        <v>26.788741349058899</v>
      </c>
      <c r="G20">
        <v>11.5731943390229</v>
      </c>
      <c r="H20">
        <v>3.88563400892509</v>
      </c>
      <c r="I20">
        <v>1.5924692678361101</v>
      </c>
      <c r="J20">
        <v>113.66233760984601</v>
      </c>
      <c r="K20">
        <v>48.192679785627298</v>
      </c>
      <c r="L20">
        <v>14.577189085764701</v>
      </c>
      <c r="M20">
        <v>4.6090212945448199</v>
      </c>
      <c r="N20">
        <v>2.4058369426838602</v>
      </c>
      <c r="O20">
        <v>185.97138423160001</v>
      </c>
      <c r="P20">
        <v>0.23568705265426801</v>
      </c>
      <c r="Q20">
        <v>0.101820836896288</v>
      </c>
      <c r="R20">
        <v>3.4185765405096803E-2</v>
      </c>
      <c r="S20">
        <v>1.4010527157222299E-2</v>
      </c>
      <c r="T20">
        <v>0.25914029722771897</v>
      </c>
      <c r="U20">
        <v>7.8384043577429605E-2</v>
      </c>
      <c r="V20">
        <v>2.4783497276145199E-2</v>
      </c>
      <c r="W20">
        <v>1.2936597491191099E-2</v>
      </c>
    </row>
    <row r="21" spans="1:23">
      <c r="A21">
        <v>70</v>
      </c>
      <c r="B21">
        <v>49</v>
      </c>
      <c r="C21">
        <v>49</v>
      </c>
      <c r="D21" t="s">
        <v>212</v>
      </c>
      <c r="E21">
        <v>1</v>
      </c>
      <c r="F21">
        <v>89.639073164640095</v>
      </c>
      <c r="G21">
        <v>19.4669405893323</v>
      </c>
      <c r="H21">
        <v>4.4866049462711501</v>
      </c>
      <c r="I21">
        <v>1.4682738763747401</v>
      </c>
      <c r="J21">
        <v>372.43766909681398</v>
      </c>
      <c r="K21">
        <v>28.792891752060399</v>
      </c>
      <c r="L21">
        <v>11.9088857076315</v>
      </c>
      <c r="M21">
        <v>4.4399904389421403</v>
      </c>
      <c r="N21">
        <v>2.09817572407484</v>
      </c>
      <c r="O21">
        <v>163.51154458526699</v>
      </c>
      <c r="P21">
        <v>0.24068208079494399</v>
      </c>
      <c r="Q21">
        <v>5.22689894299386E-2</v>
      </c>
      <c r="R21">
        <v>1.2046592808808701E-2</v>
      </c>
      <c r="S21">
        <v>3.9423345118000499E-3</v>
      </c>
      <c r="T21">
        <v>0.176090879852497</v>
      </c>
      <c r="U21">
        <v>7.2832078847015994E-2</v>
      </c>
      <c r="V21">
        <v>2.7153987507143901E-2</v>
      </c>
      <c r="W21">
        <v>1.2831972992467799E-2</v>
      </c>
    </row>
    <row r="22" spans="1:23">
      <c r="B22">
        <v>73</v>
      </c>
      <c r="C22">
        <v>73</v>
      </c>
      <c r="D22" t="s">
        <v>677</v>
      </c>
      <c r="E22">
        <v>1</v>
      </c>
      <c r="F22">
        <v>62.201794073316698</v>
      </c>
      <c r="G22">
        <v>15.395254031212</v>
      </c>
      <c r="H22">
        <v>5.8188788355132202</v>
      </c>
      <c r="I22">
        <v>3.3097543506706399</v>
      </c>
      <c r="J22">
        <v>291.70603323019299</v>
      </c>
      <c r="K22">
        <v>51.188889306244498</v>
      </c>
      <c r="L22">
        <v>12.6313341269161</v>
      </c>
      <c r="M22">
        <v>5.2003600131444996</v>
      </c>
      <c r="N22">
        <v>3.0890168940929099</v>
      </c>
      <c r="O22">
        <v>238.89224363609301</v>
      </c>
      <c r="P22">
        <v>0.21323451347415801</v>
      </c>
      <c r="Q22">
        <v>5.2776604791931699E-2</v>
      </c>
      <c r="R22">
        <v>1.99477493525867E-2</v>
      </c>
      <c r="S22">
        <v>1.1346197793786501E-2</v>
      </c>
      <c r="T22">
        <v>0.21427606240837599</v>
      </c>
      <c r="U22">
        <v>5.2874609634281297E-2</v>
      </c>
      <c r="V22">
        <v>2.1768643192393699E-2</v>
      </c>
      <c r="W22">
        <v>1.2930586807993799E-2</v>
      </c>
    </row>
    <row r="23" spans="1:23">
      <c r="A23">
        <v>36</v>
      </c>
      <c r="B23">
        <v>50</v>
      </c>
      <c r="C23">
        <v>50</v>
      </c>
      <c r="D23" t="s">
        <v>679</v>
      </c>
      <c r="E23">
        <v>1</v>
      </c>
      <c r="F23">
        <v>37.103309134675101</v>
      </c>
      <c r="G23">
        <v>7.3811811712280004</v>
      </c>
      <c r="H23">
        <v>3.0149092998579299</v>
      </c>
      <c r="I23">
        <v>1.36195764878841</v>
      </c>
      <c r="J23">
        <v>198.04856465655101</v>
      </c>
      <c r="K23">
        <v>31.941757571571699</v>
      </c>
      <c r="L23">
        <v>6.0672105654073798</v>
      </c>
      <c r="M23">
        <v>2.4797045947777101</v>
      </c>
      <c r="N23">
        <v>1.47710357937065</v>
      </c>
      <c r="O23">
        <v>145.306809867944</v>
      </c>
      <c r="P23">
        <v>0.18734449905768499</v>
      </c>
      <c r="Q23">
        <v>3.7269551455867397E-2</v>
      </c>
      <c r="R23">
        <v>1.52230807887261E-2</v>
      </c>
      <c r="S23">
        <v>6.8768872480862104E-3</v>
      </c>
      <c r="T23">
        <v>0.21982285345470501</v>
      </c>
      <c r="U23">
        <v>4.1754481919473001E-2</v>
      </c>
      <c r="V23">
        <v>1.70653020118691E-2</v>
      </c>
      <c r="W23">
        <v>1.01654119357038E-2</v>
      </c>
    </row>
    <row r="24" spans="1:23">
      <c r="A24">
        <v>15</v>
      </c>
      <c r="B24">
        <v>9</v>
      </c>
      <c r="C24">
        <v>9</v>
      </c>
      <c r="D24" t="s">
        <v>681</v>
      </c>
      <c r="E24">
        <v>3</v>
      </c>
      <c r="F24">
        <v>46.3988207854809</v>
      </c>
      <c r="G24">
        <v>14.1977641090422</v>
      </c>
      <c r="H24">
        <v>6.0148680320908499</v>
      </c>
      <c r="I24">
        <v>3.4232171467528798</v>
      </c>
      <c r="J24">
        <v>235.07102297582401</v>
      </c>
      <c r="K24">
        <v>84.518351199407306</v>
      </c>
      <c r="L24">
        <v>21.2106909666403</v>
      </c>
      <c r="M24">
        <v>7.7284059883966902</v>
      </c>
      <c r="N24">
        <v>3.9210748369808899</v>
      </c>
      <c r="O24">
        <v>496.96067889565001</v>
      </c>
      <c r="P24">
        <v>0.197382136675573</v>
      </c>
      <c r="Q24">
        <v>6.0397763745225E-2</v>
      </c>
      <c r="R24">
        <v>2.5587449937244901E-2</v>
      </c>
      <c r="S24">
        <v>1.45624803236805E-2</v>
      </c>
      <c r="T24">
        <v>0.170070500119295</v>
      </c>
      <c r="U24">
        <v>4.2680823387827901E-2</v>
      </c>
      <c r="V24">
        <v>1.5551343026918799E-2</v>
      </c>
      <c r="W24">
        <v>7.8901108347130006E-3</v>
      </c>
    </row>
    <row r="25" spans="1:23">
      <c r="A25">
        <v>25</v>
      </c>
      <c r="B25">
        <v>10</v>
      </c>
      <c r="C25">
        <v>10</v>
      </c>
      <c r="D25" t="s">
        <v>683</v>
      </c>
      <c r="E25">
        <v>3</v>
      </c>
      <c r="F25">
        <v>47.550542990177298</v>
      </c>
      <c r="G25">
        <v>17.120607344391001</v>
      </c>
      <c r="H25">
        <v>8.1584879827519092</v>
      </c>
      <c r="I25">
        <v>4.4553630623474998</v>
      </c>
      <c r="J25">
        <v>240.274468855089</v>
      </c>
      <c r="K25">
        <v>69.632982094443307</v>
      </c>
      <c r="L25">
        <v>28.089552132497001</v>
      </c>
      <c r="M25">
        <v>12.8766399731013</v>
      </c>
      <c r="N25">
        <v>6.8013051156291597</v>
      </c>
      <c r="O25">
        <v>329.04368005399999</v>
      </c>
      <c r="P25">
        <v>0.19790093894185301</v>
      </c>
      <c r="Q25">
        <v>7.1254375989138294E-2</v>
      </c>
      <c r="R25">
        <v>3.3954868453677997E-2</v>
      </c>
      <c r="S25">
        <v>1.8542806830777098E-2</v>
      </c>
      <c r="T25">
        <v>0.21162230523016201</v>
      </c>
      <c r="U25">
        <v>8.5367244032425099E-2</v>
      </c>
      <c r="V25">
        <v>3.9133527715797603E-2</v>
      </c>
      <c r="W25">
        <v>2.0669915661388701E-2</v>
      </c>
    </row>
    <row r="26" spans="1:23">
      <c r="A26">
        <v>57</v>
      </c>
      <c r="B26">
        <v>11</v>
      </c>
      <c r="C26">
        <v>11</v>
      </c>
      <c r="D26" t="s">
        <v>685</v>
      </c>
      <c r="E26">
        <v>3</v>
      </c>
      <c r="F26">
        <v>40.694277555335297</v>
      </c>
      <c r="G26">
        <v>14.4464902438613</v>
      </c>
      <c r="H26">
        <v>4.68584990896173</v>
      </c>
      <c r="I26">
        <v>2.4365455395120299</v>
      </c>
      <c r="J26">
        <v>159.97068883722599</v>
      </c>
      <c r="K26">
        <v>53.748503523443802</v>
      </c>
      <c r="L26">
        <v>13.0620231647918</v>
      </c>
      <c r="M26">
        <v>7.1272138620238303</v>
      </c>
      <c r="N26">
        <v>4.5844445199201802</v>
      </c>
      <c r="O26">
        <v>327.90752215380598</v>
      </c>
      <c r="P26">
        <v>0.25438583687504601</v>
      </c>
      <c r="Q26">
        <v>9.0307107813738297E-2</v>
      </c>
      <c r="R26">
        <v>2.9291928058956501E-2</v>
      </c>
      <c r="S26">
        <v>1.52311998980718E-2</v>
      </c>
      <c r="T26">
        <v>0.16391360335501201</v>
      </c>
      <c r="U26">
        <v>3.9834472472592503E-2</v>
      </c>
      <c r="V26">
        <v>2.17354387456863E-2</v>
      </c>
      <c r="W26">
        <v>1.39809068416852E-2</v>
      </c>
    </row>
    <row r="27" spans="1:23">
      <c r="A27">
        <v>16</v>
      </c>
      <c r="B27">
        <v>35</v>
      </c>
      <c r="C27">
        <v>35</v>
      </c>
      <c r="D27" t="s">
        <v>688</v>
      </c>
      <c r="E27">
        <v>2</v>
      </c>
      <c r="F27">
        <v>42.747634515284197</v>
      </c>
      <c r="G27">
        <v>12.9291261580509</v>
      </c>
      <c r="H27">
        <v>3.5989107962403399</v>
      </c>
      <c r="I27">
        <v>2.01746803092214</v>
      </c>
      <c r="J27">
        <v>188.761202736684</v>
      </c>
      <c r="K27">
        <v>67.819989761904097</v>
      </c>
      <c r="L27">
        <v>17.110567798380998</v>
      </c>
      <c r="M27">
        <v>5.3390476193918497</v>
      </c>
      <c r="N27">
        <v>3.3963926798098401</v>
      </c>
      <c r="O27">
        <v>295.56342780266402</v>
      </c>
      <c r="P27">
        <v>0.226464092702968</v>
      </c>
      <c r="Q27">
        <v>6.8494616322648902E-2</v>
      </c>
      <c r="R27">
        <v>1.9065945459463499E-2</v>
      </c>
      <c r="S27">
        <v>1.0687937996116999E-2</v>
      </c>
      <c r="T27">
        <v>0.22946001900879501</v>
      </c>
      <c r="U27">
        <v>5.7891356605205502E-2</v>
      </c>
      <c r="V27">
        <v>1.8063965691169699E-2</v>
      </c>
      <c r="W27">
        <v>1.14912481055588E-2</v>
      </c>
    </row>
    <row r="28" spans="1:23">
      <c r="A28">
        <v>7</v>
      </c>
      <c r="B28">
        <v>51</v>
      </c>
      <c r="C28">
        <v>51</v>
      </c>
      <c r="D28" t="s">
        <v>690</v>
      </c>
      <c r="E28">
        <v>1</v>
      </c>
      <c r="F28">
        <v>39.698351486208203</v>
      </c>
      <c r="G28">
        <v>9.7085143196127603</v>
      </c>
      <c r="H28">
        <v>3.4394418879273601</v>
      </c>
      <c r="I28">
        <v>1.8700518216226201</v>
      </c>
      <c r="J28">
        <v>174.51533756207201</v>
      </c>
      <c r="K28">
        <v>62.572035550187003</v>
      </c>
      <c r="L28">
        <v>16.919873841506199</v>
      </c>
      <c r="M28">
        <v>6.3678137028874202</v>
      </c>
      <c r="N28">
        <v>3.1050496848163598</v>
      </c>
      <c r="O28">
        <v>301.35444657583002</v>
      </c>
      <c r="P28">
        <v>0.22747772224941601</v>
      </c>
      <c r="Q28">
        <v>5.5631295536758302E-2</v>
      </c>
      <c r="R28">
        <v>1.97085364299514E-2</v>
      </c>
      <c r="S28">
        <v>1.07156875020081E-2</v>
      </c>
      <c r="T28">
        <v>0.20763601221474601</v>
      </c>
      <c r="U28">
        <v>5.6146089874431697E-2</v>
      </c>
      <c r="V28">
        <v>2.1130644578974501E-2</v>
      </c>
      <c r="W28">
        <v>1.03036464870448E-2</v>
      </c>
    </row>
    <row r="29" spans="1:23">
      <c r="A29">
        <v>13</v>
      </c>
      <c r="B29">
        <v>39</v>
      </c>
      <c r="C29">
        <v>39</v>
      </c>
      <c r="D29" t="s">
        <v>81</v>
      </c>
      <c r="E29">
        <v>2</v>
      </c>
      <c r="F29">
        <v>43.194274640051901</v>
      </c>
      <c r="G29">
        <v>10.6226875783358</v>
      </c>
      <c r="H29">
        <v>3.7594419073621199</v>
      </c>
      <c r="I29">
        <v>1.8978714785167901</v>
      </c>
      <c r="J29">
        <v>200.22327974147399</v>
      </c>
      <c r="K29">
        <v>59.488929616111001</v>
      </c>
      <c r="L29">
        <v>15.230551508643501</v>
      </c>
      <c r="M29">
        <v>4.9979284432836204</v>
      </c>
      <c r="N29">
        <v>2.73866640705576</v>
      </c>
      <c r="O29">
        <v>252.66713838663699</v>
      </c>
      <c r="P29">
        <v>0.215730531913291</v>
      </c>
      <c r="Q29">
        <v>5.3054208242176798E-2</v>
      </c>
      <c r="R29">
        <v>1.8776247758084199E-2</v>
      </c>
      <c r="S29">
        <v>9.4787753000914708E-3</v>
      </c>
      <c r="T29">
        <v>0.23544387289921201</v>
      </c>
      <c r="U29">
        <v>6.0279115067735298E-2</v>
      </c>
      <c r="V29">
        <v>1.9780682502667499E-2</v>
      </c>
      <c r="W29">
        <v>1.08390288683485E-2</v>
      </c>
    </row>
    <row r="30" spans="1:23">
      <c r="A30">
        <v>68</v>
      </c>
      <c r="B30">
        <v>54</v>
      </c>
      <c r="C30">
        <v>54</v>
      </c>
      <c r="D30" t="s">
        <v>210</v>
      </c>
      <c r="E30">
        <v>1</v>
      </c>
      <c r="F30">
        <v>11.580573178340099</v>
      </c>
      <c r="G30">
        <v>4.0916583643580404</v>
      </c>
      <c r="H30">
        <v>1.2415827247504301</v>
      </c>
      <c r="I30">
        <v>0.65196598609411005</v>
      </c>
      <c r="J30">
        <v>44.616185769574102</v>
      </c>
      <c r="K30">
        <v>36.050479405473702</v>
      </c>
      <c r="L30">
        <v>6.6936187801813896</v>
      </c>
      <c r="M30">
        <v>2.24144918953467</v>
      </c>
      <c r="N30">
        <v>1.48655753839894</v>
      </c>
      <c r="O30">
        <v>144.05600924423501</v>
      </c>
      <c r="P30">
        <v>0.25955991034620202</v>
      </c>
      <c r="Q30">
        <v>9.1707937238067E-2</v>
      </c>
      <c r="R30">
        <v>2.7828078607228902E-2</v>
      </c>
      <c r="S30">
        <v>1.46127683227175E-2</v>
      </c>
      <c r="T30">
        <v>0.25025321466703299</v>
      </c>
      <c r="U30">
        <v>4.6465390894127198E-2</v>
      </c>
      <c r="V30">
        <v>1.5559567430015899E-2</v>
      </c>
      <c r="W30">
        <v>1.0319302514333901E-2</v>
      </c>
    </row>
    <row r="31" spans="1:23">
      <c r="A31">
        <v>12</v>
      </c>
      <c r="B31">
        <v>12</v>
      </c>
      <c r="C31">
        <v>12</v>
      </c>
      <c r="D31" t="s">
        <v>0</v>
      </c>
      <c r="E31">
        <v>3</v>
      </c>
      <c r="F31">
        <v>32.574812496695102</v>
      </c>
      <c r="G31">
        <v>11.4405001049477</v>
      </c>
      <c r="H31">
        <v>4.27712054451285</v>
      </c>
      <c r="I31">
        <v>2.1472439929366902</v>
      </c>
      <c r="J31">
        <v>150.44205129999301</v>
      </c>
      <c r="K31">
        <v>41.553140122475</v>
      </c>
      <c r="L31">
        <v>12.8557174581792</v>
      </c>
      <c r="M31">
        <v>4.17235319812358</v>
      </c>
      <c r="N31">
        <v>2.53301892670647</v>
      </c>
      <c r="O31">
        <v>193.553893189164</v>
      </c>
      <c r="P31">
        <v>0.216527308789073</v>
      </c>
      <c r="Q31">
        <v>7.6045892794525505E-2</v>
      </c>
      <c r="R31">
        <v>2.8430352468299998E-2</v>
      </c>
      <c r="S31">
        <v>1.4272897599986401E-2</v>
      </c>
      <c r="T31">
        <v>0.21468511657300701</v>
      </c>
      <c r="U31">
        <v>6.6419317360953495E-2</v>
      </c>
      <c r="V31">
        <v>2.15565449466101E-2</v>
      </c>
      <c r="W31">
        <v>1.30868921568574E-2</v>
      </c>
    </row>
    <row r="32" spans="1:23">
      <c r="A32">
        <v>18</v>
      </c>
      <c r="B32">
        <v>52</v>
      </c>
      <c r="C32">
        <v>52</v>
      </c>
      <c r="D32" t="s">
        <v>692</v>
      </c>
      <c r="E32">
        <v>1</v>
      </c>
      <c r="F32">
        <v>28.715075931820699</v>
      </c>
      <c r="G32">
        <v>7.5916822972829099</v>
      </c>
      <c r="H32">
        <v>3.1692459230307199</v>
      </c>
      <c r="I32">
        <v>1.8230733331270399</v>
      </c>
      <c r="J32">
        <v>115.12182345228</v>
      </c>
      <c r="K32">
        <v>102.688992832929</v>
      </c>
      <c r="L32">
        <v>19.120182502506001</v>
      </c>
      <c r="M32">
        <v>5.9189923220092702</v>
      </c>
      <c r="N32">
        <v>3.0714853913582001</v>
      </c>
      <c r="O32">
        <v>376.92869740889199</v>
      </c>
      <c r="P32">
        <v>0.24943208047537099</v>
      </c>
      <c r="Q32">
        <v>6.59447711096217E-2</v>
      </c>
      <c r="R32">
        <v>2.7529497257697801E-2</v>
      </c>
      <c r="S32">
        <v>1.5836035935295301E-2</v>
      </c>
      <c r="T32">
        <v>0.27243612263762401</v>
      </c>
      <c r="U32">
        <v>5.0726258398320997E-2</v>
      </c>
      <c r="V32">
        <v>1.5703214859197501E-2</v>
      </c>
      <c r="W32">
        <v>8.1487172838587401E-3</v>
      </c>
    </row>
    <row r="33" spans="1:23">
      <c r="A33">
        <v>66</v>
      </c>
      <c r="B33">
        <v>13</v>
      </c>
      <c r="C33">
        <v>13</v>
      </c>
      <c r="D33" t="s">
        <v>694</v>
      </c>
      <c r="E33">
        <v>3</v>
      </c>
      <c r="F33">
        <v>107.84296561593899</v>
      </c>
      <c r="G33">
        <v>42.382057245755298</v>
      </c>
      <c r="H33">
        <v>12.430141505948299</v>
      </c>
      <c r="I33">
        <v>4.4151842380623298</v>
      </c>
      <c r="J33">
        <v>481.55619089755601</v>
      </c>
      <c r="K33">
        <v>145.692134592896</v>
      </c>
      <c r="L33">
        <v>59.153077269693497</v>
      </c>
      <c r="M33">
        <v>19.345771025361699</v>
      </c>
      <c r="N33">
        <v>6.5166032836398298</v>
      </c>
      <c r="O33">
        <v>584.49337544060802</v>
      </c>
      <c r="P33">
        <v>0.223946795108032</v>
      </c>
      <c r="Q33">
        <v>8.80106165113584E-2</v>
      </c>
      <c r="R33">
        <v>2.5812442537142301E-2</v>
      </c>
      <c r="S33">
        <v>9.1685753843866406E-3</v>
      </c>
      <c r="T33">
        <v>0.24926225123265</v>
      </c>
      <c r="U33">
        <v>0.10120401659831001</v>
      </c>
      <c r="V33">
        <v>3.3098358062276297E-2</v>
      </c>
      <c r="W33">
        <v>1.1149148232394299E-2</v>
      </c>
    </row>
    <row r="34" spans="1:23">
      <c r="A34">
        <v>49</v>
      </c>
      <c r="B34">
        <v>36</v>
      </c>
      <c r="C34">
        <v>36</v>
      </c>
      <c r="D34" t="s">
        <v>696</v>
      </c>
      <c r="E34">
        <v>2</v>
      </c>
      <c r="F34">
        <v>5.4490255806482502</v>
      </c>
      <c r="G34">
        <v>4.2580829461201404</v>
      </c>
      <c r="H34">
        <v>2.7589791302112001</v>
      </c>
      <c r="I34">
        <v>0.92067552827843402</v>
      </c>
      <c r="J34">
        <v>44.544104206328001</v>
      </c>
      <c r="K34">
        <v>42.200892167158798</v>
      </c>
      <c r="L34">
        <v>14.273988712275001</v>
      </c>
      <c r="M34">
        <v>5.8172053952193199</v>
      </c>
      <c r="N34">
        <v>3.3442981669373699</v>
      </c>
      <c r="O34">
        <v>229.64318770197599</v>
      </c>
      <c r="P34">
        <v>0.122328772297416</v>
      </c>
      <c r="Q34">
        <v>9.5592514924011704E-2</v>
      </c>
      <c r="R34">
        <v>6.1938143764921703E-2</v>
      </c>
      <c r="S34">
        <v>2.0668852695159601E-2</v>
      </c>
      <c r="T34">
        <v>0.18376722858387501</v>
      </c>
      <c r="U34">
        <v>6.2157248621715303E-2</v>
      </c>
      <c r="V34">
        <v>2.5331495584222201E-2</v>
      </c>
      <c r="W34">
        <v>1.45630192665567E-2</v>
      </c>
    </row>
    <row r="35" spans="1:23">
      <c r="A35">
        <v>29</v>
      </c>
      <c r="B35">
        <v>53</v>
      </c>
      <c r="C35">
        <v>53</v>
      </c>
      <c r="D35" t="s">
        <v>698</v>
      </c>
      <c r="E35">
        <v>1</v>
      </c>
      <c r="F35">
        <v>57.579311741380401</v>
      </c>
      <c r="G35">
        <v>14.291455464678</v>
      </c>
      <c r="H35">
        <v>7.0634471146957898</v>
      </c>
      <c r="I35">
        <v>3.8575361204108698</v>
      </c>
      <c r="J35">
        <v>300.96688661958501</v>
      </c>
      <c r="K35">
        <v>99.398784455461794</v>
      </c>
      <c r="L35">
        <v>24.4616002874827</v>
      </c>
      <c r="M35">
        <v>9.8822027092936704</v>
      </c>
      <c r="N35">
        <v>4.9261848970780902</v>
      </c>
      <c r="O35">
        <v>462.41689369411102</v>
      </c>
      <c r="P35">
        <v>0.19131444122675001</v>
      </c>
      <c r="Q35">
        <v>4.7485142386252198E-2</v>
      </c>
      <c r="R35">
        <v>2.34691835837204E-2</v>
      </c>
      <c r="S35">
        <v>1.2817144649161101E-2</v>
      </c>
      <c r="T35">
        <v>0.21495491581502199</v>
      </c>
      <c r="U35">
        <v>5.2899452033566899E-2</v>
      </c>
      <c r="V35">
        <v>2.1370764874846401E-2</v>
      </c>
      <c r="W35">
        <v>1.06531248409293E-2</v>
      </c>
    </row>
    <row r="36" spans="1:23">
      <c r="A36">
        <v>30</v>
      </c>
      <c r="B36">
        <v>37</v>
      </c>
      <c r="C36">
        <v>37</v>
      </c>
      <c r="D36" t="s">
        <v>700</v>
      </c>
      <c r="E36">
        <v>2</v>
      </c>
      <c r="F36">
        <v>58.7422029016222</v>
      </c>
      <c r="G36">
        <v>23.458268187334301</v>
      </c>
      <c r="H36">
        <v>7.0626360185121397</v>
      </c>
      <c r="I36">
        <v>3.2644961821791099</v>
      </c>
      <c r="J36">
        <v>258.70083146847998</v>
      </c>
      <c r="K36">
        <v>70.515647299024096</v>
      </c>
      <c r="L36">
        <v>17.562001560200301</v>
      </c>
      <c r="M36">
        <v>6.1411050246540597</v>
      </c>
      <c r="N36">
        <v>3.1636433067712302</v>
      </c>
      <c r="O36">
        <v>306.13824329129699</v>
      </c>
      <c r="P36">
        <v>0.22706615424535001</v>
      </c>
      <c r="Q36">
        <v>9.0677204453409294E-2</v>
      </c>
      <c r="R36">
        <v>2.73003993780076E-2</v>
      </c>
      <c r="S36">
        <v>1.2618808233621199E-2</v>
      </c>
      <c r="T36">
        <v>0.230339230214786</v>
      </c>
      <c r="U36">
        <v>5.7366245299479798E-2</v>
      </c>
      <c r="V36">
        <v>2.0059908094561998E-2</v>
      </c>
      <c r="W36">
        <v>1.0334034953486599E-2</v>
      </c>
    </row>
    <row r="37" spans="1:23">
      <c r="A37">
        <v>19</v>
      </c>
      <c r="B37">
        <v>38</v>
      </c>
      <c r="C37">
        <v>38</v>
      </c>
      <c r="D37" t="s">
        <v>702</v>
      </c>
      <c r="E37">
        <v>2</v>
      </c>
      <c r="F37">
        <v>58.824046490815299</v>
      </c>
      <c r="G37">
        <v>11.988950910364901</v>
      </c>
      <c r="H37">
        <v>3.8205743607224298</v>
      </c>
      <c r="I37">
        <v>1.73086368154665</v>
      </c>
      <c r="J37">
        <v>273.42441505520702</v>
      </c>
      <c r="K37">
        <v>42.0946015608572</v>
      </c>
      <c r="L37">
        <v>11.3923936546425</v>
      </c>
      <c r="M37">
        <v>4.1720952258353696</v>
      </c>
      <c r="N37">
        <v>2.4223312155191699</v>
      </c>
      <c r="O37">
        <v>224.24755317503599</v>
      </c>
      <c r="P37">
        <v>0.215138236572393</v>
      </c>
      <c r="Q37">
        <v>4.3847404438788803E-2</v>
      </c>
      <c r="R37">
        <v>1.3973054893254599E-2</v>
      </c>
      <c r="S37">
        <v>6.3303186776395501E-3</v>
      </c>
      <c r="T37">
        <v>0.18771487565797601</v>
      </c>
      <c r="U37">
        <v>5.0802755674886901E-2</v>
      </c>
      <c r="V37">
        <v>1.8604863985199699E-2</v>
      </c>
      <c r="W37">
        <v>1.08020407858293E-2</v>
      </c>
    </row>
    <row r="38" spans="1:23">
      <c r="B38">
        <v>74</v>
      </c>
      <c r="C38">
        <v>74</v>
      </c>
      <c r="D38" t="s">
        <v>706</v>
      </c>
      <c r="E38">
        <v>2</v>
      </c>
      <c r="F38">
        <v>108.822381927202</v>
      </c>
      <c r="G38">
        <v>22.737189316367999</v>
      </c>
      <c r="H38">
        <v>5.6070636237238096</v>
      </c>
      <c r="I38">
        <v>2.2710298300641698</v>
      </c>
      <c r="J38">
        <v>572.88888198022698</v>
      </c>
      <c r="K38">
        <v>90.699057144357297</v>
      </c>
      <c r="L38">
        <v>14.658220962505499</v>
      </c>
      <c r="M38">
        <v>4.3293617427157098</v>
      </c>
      <c r="N38">
        <v>2.0215750994375701</v>
      </c>
      <c r="O38">
        <v>311.35026615267498</v>
      </c>
      <c r="P38">
        <v>0.189953733350612</v>
      </c>
      <c r="Q38">
        <v>3.9688655220145697E-2</v>
      </c>
      <c r="R38">
        <v>9.7873493448548694E-3</v>
      </c>
      <c r="S38">
        <v>3.96417158981025E-3</v>
      </c>
      <c r="T38">
        <v>0.291308750961149</v>
      </c>
      <c r="U38">
        <v>4.7079519615112801E-2</v>
      </c>
      <c r="V38">
        <v>1.39051165628127E-2</v>
      </c>
      <c r="W38">
        <v>6.4929287661063401E-3</v>
      </c>
    </row>
    <row r="39" spans="1:23">
      <c r="A39">
        <v>11</v>
      </c>
      <c r="B39">
        <v>40</v>
      </c>
      <c r="C39">
        <v>40</v>
      </c>
      <c r="D39" t="s">
        <v>708</v>
      </c>
      <c r="E39">
        <v>2</v>
      </c>
      <c r="F39">
        <v>28.370806793381998</v>
      </c>
      <c r="G39">
        <v>10.7351852081043</v>
      </c>
      <c r="H39">
        <v>3.7428710255216702</v>
      </c>
      <c r="I39">
        <v>1.4390543102817801</v>
      </c>
      <c r="J39">
        <v>120.253196127316</v>
      </c>
      <c r="K39">
        <v>54.142587813693197</v>
      </c>
      <c r="L39">
        <v>14.1191219643895</v>
      </c>
      <c r="M39">
        <v>4.8788537694303198</v>
      </c>
      <c r="N39">
        <v>2.5546044179459102</v>
      </c>
      <c r="O39">
        <v>201.791906900806</v>
      </c>
      <c r="P39">
        <v>0.23592559455421699</v>
      </c>
      <c r="Q39">
        <v>8.9271516714937105E-2</v>
      </c>
      <c r="R39">
        <v>3.1124919304090299E-2</v>
      </c>
      <c r="S39">
        <v>1.19668695438099E-2</v>
      </c>
      <c r="T39">
        <v>0.26830901518913702</v>
      </c>
      <c r="U39">
        <v>6.9968722637276007E-2</v>
      </c>
      <c r="V39">
        <v>2.41776483723334E-2</v>
      </c>
      <c r="W39">
        <v>1.2659597984777801E-2</v>
      </c>
    </row>
    <row r="40" spans="1:23">
      <c r="B40">
        <v>75</v>
      </c>
      <c r="C40">
        <v>75</v>
      </c>
      <c r="D40" t="s">
        <v>512</v>
      </c>
      <c r="E40">
        <v>1</v>
      </c>
      <c r="F40">
        <v>101.220026103807</v>
      </c>
      <c r="G40">
        <v>17.277061121608899</v>
      </c>
      <c r="H40">
        <v>5.9106721812321901</v>
      </c>
      <c r="I40">
        <v>4.17745872125891</v>
      </c>
      <c r="J40">
        <v>409.40515193700003</v>
      </c>
      <c r="K40">
        <v>103.79910310919701</v>
      </c>
      <c r="L40">
        <v>13.2791341325857</v>
      </c>
      <c r="M40">
        <v>5.9000155131288601</v>
      </c>
      <c r="N40">
        <v>4.7619324129316896</v>
      </c>
      <c r="O40">
        <v>412.29816995267799</v>
      </c>
      <c r="P40">
        <v>0.24723681571887701</v>
      </c>
      <c r="Q40">
        <v>4.2200399872514401E-2</v>
      </c>
      <c r="R40">
        <v>1.44372198377751E-2</v>
      </c>
      <c r="S40">
        <v>1.02037277779586E-2</v>
      </c>
      <c r="T40">
        <v>0.25175737045136598</v>
      </c>
      <c r="U40">
        <v>3.2207599015319097E-2</v>
      </c>
      <c r="V40">
        <v>1.4310069612499201E-2</v>
      </c>
      <c r="W40">
        <v>1.1549729685868501E-2</v>
      </c>
    </row>
    <row r="41" spans="1:23">
      <c r="A41">
        <v>73</v>
      </c>
      <c r="B41">
        <v>55</v>
      </c>
      <c r="C41">
        <v>55</v>
      </c>
      <c r="D41" t="s">
        <v>217</v>
      </c>
      <c r="E41">
        <v>1</v>
      </c>
      <c r="F41">
        <v>28.423947434609101</v>
      </c>
      <c r="G41">
        <v>8.74639960747019</v>
      </c>
      <c r="H41">
        <v>2.9765457158586601</v>
      </c>
      <c r="I41">
        <v>2.0696597770426002</v>
      </c>
      <c r="J41">
        <v>138.49210063858399</v>
      </c>
      <c r="K41">
        <v>48.864212199505602</v>
      </c>
      <c r="L41">
        <v>12.062300852817399</v>
      </c>
      <c r="M41">
        <v>3.99800105706802</v>
      </c>
      <c r="N41">
        <v>1.8758302302394001</v>
      </c>
      <c r="O41">
        <v>185.41792642519599</v>
      </c>
      <c r="P41">
        <v>0.20523876310307199</v>
      </c>
      <c r="Q41">
        <v>6.3154501716276706E-2</v>
      </c>
      <c r="R41">
        <v>2.1492530636288198E-2</v>
      </c>
      <c r="S41">
        <v>1.4944244238476101E-2</v>
      </c>
      <c r="T41">
        <v>0.26353553370805899</v>
      </c>
      <c r="U41">
        <v>6.5054663728448994E-2</v>
      </c>
      <c r="V41">
        <v>2.1562106394717701E-2</v>
      </c>
      <c r="W41">
        <v>1.0116768461415101E-2</v>
      </c>
    </row>
    <row r="42" spans="1:23">
      <c r="A42">
        <v>20</v>
      </c>
      <c r="B42">
        <v>56</v>
      </c>
      <c r="C42">
        <v>56</v>
      </c>
      <c r="D42" t="s">
        <v>712</v>
      </c>
      <c r="E42">
        <v>1</v>
      </c>
      <c r="F42">
        <v>64.745286346801507</v>
      </c>
      <c r="G42">
        <v>32.010220844372199</v>
      </c>
      <c r="H42">
        <v>11.5094992320271</v>
      </c>
      <c r="I42">
        <v>4.3791814260741404</v>
      </c>
      <c r="J42">
        <v>333.20472256444901</v>
      </c>
      <c r="K42">
        <v>105.49645831885201</v>
      </c>
      <c r="L42">
        <v>33.396542383756497</v>
      </c>
      <c r="M42">
        <v>13.2299183723265</v>
      </c>
      <c r="N42">
        <v>5.5125315266234098</v>
      </c>
      <c r="O42">
        <v>456.17240726552399</v>
      </c>
      <c r="P42">
        <v>0.194310830436319</v>
      </c>
      <c r="Q42">
        <v>9.6067728566424093E-2</v>
      </c>
      <c r="R42">
        <v>3.4541825048115697E-2</v>
      </c>
      <c r="S42">
        <v>1.3142615123730999E-2</v>
      </c>
      <c r="T42">
        <v>0.23126444440433999</v>
      </c>
      <c r="U42">
        <v>7.3210351726331904E-2</v>
      </c>
      <c r="V42">
        <v>2.9002013628206601E-2</v>
      </c>
      <c r="W42">
        <v>1.20843160147885E-2</v>
      </c>
    </row>
    <row r="43" spans="1:23">
      <c r="A43">
        <v>10</v>
      </c>
      <c r="B43">
        <v>14</v>
      </c>
      <c r="C43">
        <v>14</v>
      </c>
      <c r="D43" t="s">
        <v>714</v>
      </c>
      <c r="E43">
        <v>3</v>
      </c>
      <c r="F43">
        <v>38.349227018085003</v>
      </c>
      <c r="G43">
        <v>11.101528703559699</v>
      </c>
      <c r="H43">
        <v>3.6344331259772198</v>
      </c>
      <c r="I43">
        <v>2.35234779427135</v>
      </c>
      <c r="J43">
        <v>155.03844198105401</v>
      </c>
      <c r="K43">
        <v>78.8634833256382</v>
      </c>
      <c r="L43">
        <v>12.224462564969899</v>
      </c>
      <c r="M43">
        <v>4.09494800051319</v>
      </c>
      <c r="N43">
        <v>2.5452006519944099</v>
      </c>
      <c r="O43">
        <v>328.67834431287099</v>
      </c>
      <c r="P43">
        <v>0.24735302114795099</v>
      </c>
      <c r="Q43">
        <v>7.16050068725297E-2</v>
      </c>
      <c r="R43">
        <v>2.3442141700710298E-2</v>
      </c>
      <c r="S43">
        <v>1.51726743652314E-2</v>
      </c>
      <c r="T43">
        <v>0.23994122122803299</v>
      </c>
      <c r="U43">
        <v>3.7192783694119401E-2</v>
      </c>
      <c r="V43">
        <v>1.24588311684301E-2</v>
      </c>
      <c r="W43">
        <v>7.7437430729285304E-3</v>
      </c>
    </row>
    <row r="44" spans="1:23">
      <c r="A44">
        <v>37</v>
      </c>
      <c r="B44">
        <v>57</v>
      </c>
      <c r="C44">
        <v>57</v>
      </c>
      <c r="D44" t="s">
        <v>718</v>
      </c>
      <c r="E44">
        <v>1</v>
      </c>
      <c r="F44">
        <v>59.564950802394002</v>
      </c>
      <c r="G44">
        <v>12.374691909186099</v>
      </c>
      <c r="H44">
        <v>7.0150682702435203</v>
      </c>
      <c r="I44">
        <v>3.2902024152332201</v>
      </c>
      <c r="J44">
        <v>250.444168592431</v>
      </c>
      <c r="K44">
        <v>44.068395500964698</v>
      </c>
      <c r="L44">
        <v>10.436451909257899</v>
      </c>
      <c r="M44">
        <v>5.4262230745270896</v>
      </c>
      <c r="N44">
        <v>2.9400794688044201</v>
      </c>
      <c r="O44">
        <v>186.78456933249799</v>
      </c>
      <c r="P44">
        <v>0.23783724387421901</v>
      </c>
      <c r="Q44">
        <v>4.9410980414259398E-2</v>
      </c>
      <c r="R44">
        <v>2.80105075301623E-2</v>
      </c>
      <c r="S44">
        <v>1.3137468657086799E-2</v>
      </c>
      <c r="T44">
        <v>0.235931670685911</v>
      </c>
      <c r="U44">
        <v>5.5874272412084702E-2</v>
      </c>
      <c r="V44">
        <v>2.9050703138479201E-2</v>
      </c>
      <c r="W44">
        <v>1.5740483699008E-2</v>
      </c>
    </row>
    <row r="45" spans="1:23">
      <c r="A45">
        <v>74</v>
      </c>
      <c r="B45">
        <v>58</v>
      </c>
      <c r="C45">
        <v>58</v>
      </c>
      <c r="D45" t="s">
        <v>216</v>
      </c>
      <c r="E45">
        <v>1</v>
      </c>
      <c r="F45">
        <v>68.149460676804793</v>
      </c>
      <c r="G45">
        <v>23.4479570657304</v>
      </c>
      <c r="H45">
        <v>7.1982687282271698</v>
      </c>
      <c r="I45">
        <v>4.0351088201800804</v>
      </c>
      <c r="J45">
        <v>328.835026043938</v>
      </c>
      <c r="K45">
        <v>76.467987825357497</v>
      </c>
      <c r="L45">
        <v>28.4564537427777</v>
      </c>
      <c r="M45">
        <v>11.956855756553299</v>
      </c>
      <c r="N45">
        <v>5.3426894206208697</v>
      </c>
      <c r="O45">
        <v>374.65252800846002</v>
      </c>
      <c r="P45">
        <v>0.20724513898862701</v>
      </c>
      <c r="Q45">
        <v>7.13061420123699E-2</v>
      </c>
      <c r="R45">
        <v>2.189021289741E-2</v>
      </c>
      <c r="S45">
        <v>1.2270921588629399E-2</v>
      </c>
      <c r="T45">
        <v>0.204103755102997</v>
      </c>
      <c r="U45">
        <v>7.59542552509751E-2</v>
      </c>
      <c r="V45">
        <v>3.1914520422729603E-2</v>
      </c>
      <c r="W45">
        <v>1.4260385346980001E-2</v>
      </c>
    </row>
    <row r="46" spans="1:23">
      <c r="A46">
        <v>5</v>
      </c>
      <c r="B46">
        <v>15</v>
      </c>
      <c r="C46">
        <v>15</v>
      </c>
      <c r="D46" t="s">
        <v>5</v>
      </c>
      <c r="E46">
        <v>3</v>
      </c>
      <c r="F46">
        <v>65.171871912207294</v>
      </c>
      <c r="G46">
        <v>32.195062190824203</v>
      </c>
      <c r="H46">
        <v>11.451700137625499</v>
      </c>
      <c r="I46">
        <v>4.86911398783867</v>
      </c>
      <c r="J46">
        <v>296.30036808416799</v>
      </c>
      <c r="K46">
        <v>80.323285435084799</v>
      </c>
      <c r="L46">
        <v>22.440168634424399</v>
      </c>
      <c r="M46">
        <v>7.6943696904198102</v>
      </c>
      <c r="N46">
        <v>4.0741658018666103</v>
      </c>
      <c r="O46">
        <v>380.70369871975402</v>
      </c>
      <c r="P46">
        <v>0.21995204506021601</v>
      </c>
      <c r="Q46">
        <v>0.108656841700847</v>
      </c>
      <c r="R46">
        <v>3.8648956839542302E-2</v>
      </c>
      <c r="S46">
        <v>1.6433033881535799E-2</v>
      </c>
      <c r="T46">
        <v>0.21098635423086001</v>
      </c>
      <c r="U46">
        <v>5.89439207180995E-2</v>
      </c>
      <c r="V46">
        <v>2.0210913937255499E-2</v>
      </c>
      <c r="W46">
        <v>1.07016711830418E-2</v>
      </c>
    </row>
    <row r="47" spans="1:23">
      <c r="A47">
        <v>4</v>
      </c>
      <c r="B47">
        <v>16</v>
      </c>
      <c r="C47">
        <v>16</v>
      </c>
      <c r="D47" t="s">
        <v>722</v>
      </c>
      <c r="E47">
        <v>3</v>
      </c>
      <c r="F47">
        <v>37.525590815929597</v>
      </c>
      <c r="G47">
        <v>8.8509227820954894</v>
      </c>
      <c r="H47">
        <v>3.3041870555894901</v>
      </c>
      <c r="I47">
        <v>1.70852058267125</v>
      </c>
      <c r="J47">
        <v>193.91473516015799</v>
      </c>
      <c r="K47">
        <v>57.796904656124497</v>
      </c>
      <c r="L47">
        <v>13.850028655837001</v>
      </c>
      <c r="M47">
        <v>4.0967416639076202</v>
      </c>
      <c r="N47">
        <v>2.1526454859246398</v>
      </c>
      <c r="O47">
        <v>286.028361676109</v>
      </c>
      <c r="P47">
        <v>0.19351593258210301</v>
      </c>
      <c r="Q47">
        <v>4.5643374005515103E-2</v>
      </c>
      <c r="R47">
        <v>1.7039381008671101E-2</v>
      </c>
      <c r="S47">
        <v>8.8106795043716001E-3</v>
      </c>
      <c r="T47">
        <v>0.202067040895658</v>
      </c>
      <c r="U47">
        <v>4.8421871784590502E-2</v>
      </c>
      <c r="V47">
        <v>1.43228512022408E-2</v>
      </c>
      <c r="W47">
        <v>7.5259861410605002E-3</v>
      </c>
    </row>
    <row r="48" spans="1:23">
      <c r="A48">
        <v>2</v>
      </c>
      <c r="B48">
        <v>59</v>
      </c>
      <c r="C48">
        <v>59</v>
      </c>
      <c r="D48" t="s">
        <v>724</v>
      </c>
      <c r="E48">
        <v>1</v>
      </c>
      <c r="F48">
        <v>67.667413241106104</v>
      </c>
      <c r="G48">
        <v>12.778868160083301</v>
      </c>
      <c r="H48">
        <v>5.4613870254758998</v>
      </c>
      <c r="I48">
        <v>3.9792028399764199</v>
      </c>
      <c r="J48">
        <v>327.11346672923298</v>
      </c>
      <c r="K48">
        <v>65.922168455176802</v>
      </c>
      <c r="L48">
        <v>11.094206207721999</v>
      </c>
      <c r="M48">
        <v>4.5386749998103104</v>
      </c>
      <c r="N48">
        <v>3.28962314539721</v>
      </c>
      <c r="O48">
        <v>335.09059252879302</v>
      </c>
      <c r="P48">
        <v>0.20686220569793101</v>
      </c>
      <c r="Q48">
        <v>3.9065552047910401E-2</v>
      </c>
      <c r="R48">
        <v>1.6695696083941801E-2</v>
      </c>
      <c r="S48">
        <v>1.21645949944035E-2</v>
      </c>
      <c r="T48">
        <v>0.19672939176742901</v>
      </c>
      <c r="U48">
        <v>3.31080801881024E-2</v>
      </c>
      <c r="V48">
        <v>1.35446207712331E-2</v>
      </c>
      <c r="W48">
        <v>9.8171157852321705E-3</v>
      </c>
    </row>
    <row r="49" spans="1:23">
      <c r="A49">
        <v>58</v>
      </c>
      <c r="B49">
        <v>60</v>
      </c>
      <c r="C49">
        <v>60</v>
      </c>
      <c r="D49" t="s">
        <v>46</v>
      </c>
      <c r="E49">
        <v>1</v>
      </c>
      <c r="F49">
        <v>31.980861083772702</v>
      </c>
      <c r="G49">
        <v>9.9477575020832898</v>
      </c>
      <c r="H49">
        <v>4.2839788790183899</v>
      </c>
      <c r="I49">
        <v>2.4813707722377298</v>
      </c>
      <c r="J49">
        <v>252.65632365955</v>
      </c>
      <c r="K49">
        <v>53.6421639180288</v>
      </c>
      <c r="L49">
        <v>8.7985639321916693</v>
      </c>
      <c r="M49">
        <v>3.82772087558876</v>
      </c>
      <c r="N49">
        <v>2.8216158299257499</v>
      </c>
      <c r="O49">
        <v>310.64435432599402</v>
      </c>
      <c r="P49">
        <v>0.12657851036757101</v>
      </c>
      <c r="Q49">
        <v>3.9372683643919902E-2</v>
      </c>
      <c r="R49">
        <v>1.6955755616831401E-2</v>
      </c>
      <c r="S49">
        <v>9.82113068177678E-3</v>
      </c>
      <c r="T49">
        <v>0.172680311652263</v>
      </c>
      <c r="U49">
        <v>2.8323591945786201E-2</v>
      </c>
      <c r="V49">
        <v>1.23218749102773E-2</v>
      </c>
      <c r="W49">
        <v>9.0831067445208101E-3</v>
      </c>
    </row>
    <row r="50" spans="1:23">
      <c r="B50">
        <v>76</v>
      </c>
      <c r="C50">
        <v>77</v>
      </c>
      <c r="D50" t="s">
        <v>728</v>
      </c>
      <c r="E50">
        <v>3</v>
      </c>
      <c r="F50">
        <v>56.354907329323602</v>
      </c>
      <c r="G50">
        <v>12.9583979918729</v>
      </c>
      <c r="H50">
        <v>3.6618329627856001</v>
      </c>
      <c r="I50">
        <v>1.0774244633818599</v>
      </c>
      <c r="J50">
        <v>226.717809316489</v>
      </c>
      <c r="K50">
        <v>123.16410067176299</v>
      </c>
      <c r="L50">
        <v>19.777241822563699</v>
      </c>
      <c r="M50">
        <v>7.1739811789461099</v>
      </c>
      <c r="N50">
        <v>3.5148199877158999</v>
      </c>
      <c r="O50">
        <v>517.15738520804405</v>
      </c>
      <c r="P50">
        <v>0.24856850681127801</v>
      </c>
      <c r="Q50">
        <v>5.71565067205793E-2</v>
      </c>
      <c r="R50">
        <v>1.6151501171545901E-2</v>
      </c>
      <c r="S50">
        <v>4.7522709690521999E-3</v>
      </c>
      <c r="T50">
        <v>0.23815593510709701</v>
      </c>
      <c r="U50">
        <v>3.8242210955969802E-2</v>
      </c>
      <c r="V50">
        <v>1.38719495924053E-2</v>
      </c>
      <c r="W50">
        <v>6.7964223044053602E-3</v>
      </c>
    </row>
    <row r="51" spans="1:23">
      <c r="B51">
        <v>77</v>
      </c>
      <c r="C51">
        <v>78</v>
      </c>
      <c r="D51" t="s">
        <v>730</v>
      </c>
      <c r="E51">
        <v>3</v>
      </c>
      <c r="F51">
        <v>27.911933280871501</v>
      </c>
      <c r="G51">
        <v>8.3173463097502491</v>
      </c>
      <c r="H51">
        <v>3.6479519738125901</v>
      </c>
      <c r="I51">
        <v>2.80587536957787</v>
      </c>
      <c r="J51">
        <v>143.64794847887799</v>
      </c>
      <c r="K51">
        <v>42.8885932214951</v>
      </c>
      <c r="L51">
        <v>8.6453725277712294</v>
      </c>
      <c r="M51">
        <v>4.5626355037192603</v>
      </c>
      <c r="N51">
        <v>3.1187514367873299</v>
      </c>
      <c r="O51">
        <v>183.69431729871599</v>
      </c>
      <c r="P51">
        <v>0.19430791442855599</v>
      </c>
      <c r="Q51">
        <v>5.7900905636485402E-2</v>
      </c>
      <c r="R51">
        <v>2.5395085780490399E-2</v>
      </c>
      <c r="S51">
        <v>1.9532999943890201E-2</v>
      </c>
      <c r="T51">
        <v>0.233478062098957</v>
      </c>
      <c r="U51">
        <v>4.7063908426260598E-2</v>
      </c>
      <c r="V51">
        <v>2.48381962535058E-2</v>
      </c>
      <c r="W51">
        <v>1.69779418473558E-2</v>
      </c>
    </row>
    <row r="52" spans="1:23">
      <c r="A52">
        <v>62</v>
      </c>
      <c r="B52">
        <v>17</v>
      </c>
      <c r="C52">
        <v>17</v>
      </c>
      <c r="D52" t="s">
        <v>206</v>
      </c>
      <c r="E52">
        <v>3</v>
      </c>
      <c r="F52">
        <v>55.723694660825998</v>
      </c>
      <c r="G52">
        <v>11.714905283957901</v>
      </c>
      <c r="H52">
        <v>4.9636619989919399</v>
      </c>
      <c r="I52">
        <v>3.0506353733283298</v>
      </c>
      <c r="J52">
        <v>372.01713509339203</v>
      </c>
      <c r="K52">
        <v>75.739244557075494</v>
      </c>
      <c r="L52">
        <v>12.5410369281676</v>
      </c>
      <c r="M52">
        <v>4.0940604272262604</v>
      </c>
      <c r="N52">
        <v>2.3926591753516799</v>
      </c>
      <c r="O52">
        <v>484.28238755201102</v>
      </c>
      <c r="P52">
        <v>0.149787978574796</v>
      </c>
      <c r="Q52">
        <v>3.1490230365375599E-2</v>
      </c>
      <c r="R52">
        <v>1.33425628304617E-2</v>
      </c>
      <c r="S52">
        <v>8.2002550032070406E-3</v>
      </c>
      <c r="T52">
        <v>0.15639479465674599</v>
      </c>
      <c r="U52">
        <v>2.58961243491861E-2</v>
      </c>
      <c r="V52">
        <v>8.4538701643089801E-3</v>
      </c>
      <c r="W52">
        <v>4.9406281063539897E-3</v>
      </c>
    </row>
    <row r="53" spans="1:23">
      <c r="B53">
        <v>78</v>
      </c>
      <c r="C53">
        <v>79</v>
      </c>
      <c r="D53" t="s">
        <v>733</v>
      </c>
      <c r="E53">
        <v>3</v>
      </c>
      <c r="F53">
        <v>41.484355274333701</v>
      </c>
      <c r="G53">
        <v>13.054224917481299</v>
      </c>
      <c r="H53">
        <v>4.3202603068707903</v>
      </c>
      <c r="I53">
        <v>2.0857077781184001</v>
      </c>
      <c r="J53">
        <v>170.01073180930101</v>
      </c>
      <c r="K53">
        <v>54.855572581601301</v>
      </c>
      <c r="L53">
        <v>14.878362886009899</v>
      </c>
      <c r="M53">
        <v>5.6772699765614698</v>
      </c>
      <c r="N53">
        <v>3.7734732296536602</v>
      </c>
      <c r="O53">
        <v>236.72689308853001</v>
      </c>
      <c r="P53">
        <v>0.24401021531315001</v>
      </c>
      <c r="Q53">
        <v>7.6784711050618196E-2</v>
      </c>
      <c r="R53">
        <v>2.5411691726124602E-2</v>
      </c>
      <c r="S53">
        <v>1.2268094819201899E-2</v>
      </c>
      <c r="T53">
        <v>0.23172514058673799</v>
      </c>
      <c r="U53">
        <v>6.2850328037912101E-2</v>
      </c>
      <c r="V53">
        <v>2.3982361710117601E-2</v>
      </c>
      <c r="W53">
        <v>1.5940196656247501E-2</v>
      </c>
    </row>
    <row r="54" spans="1:23">
      <c r="A54">
        <v>26</v>
      </c>
      <c r="B54">
        <v>18</v>
      </c>
      <c r="C54">
        <v>18</v>
      </c>
      <c r="D54" t="s">
        <v>735</v>
      </c>
      <c r="E54">
        <v>3</v>
      </c>
      <c r="F54">
        <v>74.415306458362707</v>
      </c>
      <c r="G54">
        <v>56.835585754462002</v>
      </c>
      <c r="H54">
        <v>25.188510383350899</v>
      </c>
      <c r="I54">
        <v>9.4561722158998407</v>
      </c>
      <c r="J54">
        <v>323.49816161904499</v>
      </c>
      <c r="K54">
        <v>22.219491307468999</v>
      </c>
      <c r="L54">
        <v>20.189006227074099</v>
      </c>
      <c r="M54">
        <v>10.8788584071419</v>
      </c>
      <c r="N54">
        <v>4.4629147617714402</v>
      </c>
      <c r="O54">
        <v>126.037683310617</v>
      </c>
      <c r="P54">
        <v>0.230033166451175</v>
      </c>
      <c r="Q54">
        <v>0.17569059888937599</v>
      </c>
      <c r="R54">
        <v>7.7862916615313596E-2</v>
      </c>
      <c r="S54">
        <v>2.9230992128590701E-2</v>
      </c>
      <c r="T54">
        <v>0.17629244463903401</v>
      </c>
      <c r="U54">
        <v>0.16018230180666501</v>
      </c>
      <c r="V54">
        <v>8.6314331725148893E-2</v>
      </c>
      <c r="W54">
        <v>3.5409368409070698E-2</v>
      </c>
    </row>
    <row r="55" spans="1:23">
      <c r="A55">
        <v>35</v>
      </c>
      <c r="B55">
        <v>21</v>
      </c>
      <c r="C55">
        <v>21</v>
      </c>
      <c r="D55" t="s">
        <v>743</v>
      </c>
      <c r="E55">
        <v>3</v>
      </c>
      <c r="F55">
        <v>57.271749832121003</v>
      </c>
      <c r="G55">
        <v>10.9932292590073</v>
      </c>
      <c r="H55">
        <v>5.0823321017119403</v>
      </c>
      <c r="I55">
        <v>2.5265503051561602</v>
      </c>
      <c r="J55">
        <v>307.87379291334599</v>
      </c>
      <c r="K55">
        <v>110.371598307784</v>
      </c>
      <c r="L55">
        <v>13.6855827671942</v>
      </c>
      <c r="M55">
        <v>4.3742443830181497</v>
      </c>
      <c r="N55">
        <v>3.1831055582946899</v>
      </c>
      <c r="O55">
        <v>514.58520999423195</v>
      </c>
      <c r="P55">
        <v>0.18602346529781</v>
      </c>
      <c r="Q55">
        <v>3.5706934179037003E-2</v>
      </c>
      <c r="R55">
        <v>1.65078425598323E-2</v>
      </c>
      <c r="S55">
        <v>8.2064481073492197E-3</v>
      </c>
      <c r="T55">
        <v>0.21448653432737</v>
      </c>
      <c r="U55">
        <v>2.6595367494817099E-2</v>
      </c>
      <c r="V55">
        <v>8.5005248850179398E-3</v>
      </c>
      <c r="W55">
        <v>6.1857696188554901E-3</v>
      </c>
    </row>
    <row r="56" spans="1:23">
      <c r="A56">
        <v>64</v>
      </c>
      <c r="B56">
        <v>20</v>
      </c>
      <c r="C56">
        <v>20</v>
      </c>
      <c r="D56" t="s">
        <v>209</v>
      </c>
      <c r="E56">
        <v>3</v>
      </c>
      <c r="F56">
        <v>27.739780332768799</v>
      </c>
      <c r="G56">
        <v>7.7938978660287797</v>
      </c>
      <c r="H56">
        <v>3.2812890182394199</v>
      </c>
      <c r="I56">
        <v>1.69423544928536</v>
      </c>
      <c r="J56">
        <v>117.946066835512</v>
      </c>
      <c r="K56">
        <v>56.706165992504403</v>
      </c>
      <c r="L56">
        <v>17.871815086046201</v>
      </c>
      <c r="M56">
        <v>7.0097385525163203</v>
      </c>
      <c r="N56">
        <v>4.1438637377345398</v>
      </c>
      <c r="O56">
        <v>239.98708352326699</v>
      </c>
      <c r="P56">
        <v>0.23519038045969701</v>
      </c>
      <c r="Q56">
        <v>6.6080184571972303E-2</v>
      </c>
      <c r="R56">
        <v>2.7820249596076201E-2</v>
      </c>
      <c r="S56">
        <v>1.4364492981763901E-2</v>
      </c>
      <c r="T56">
        <v>0.23628840835930501</v>
      </c>
      <c r="U56">
        <v>7.4469904061788994E-2</v>
      </c>
      <c r="V56">
        <v>2.92088159479496E-2</v>
      </c>
      <c r="W56">
        <v>1.7267028195427001E-2</v>
      </c>
    </row>
    <row r="57" spans="1:23">
      <c r="A57">
        <v>44</v>
      </c>
      <c r="B57">
        <v>41</v>
      </c>
      <c r="C57">
        <v>41</v>
      </c>
      <c r="D57" t="s">
        <v>737</v>
      </c>
      <c r="E57">
        <v>2</v>
      </c>
      <c r="F57">
        <v>44.9749823155435</v>
      </c>
      <c r="G57">
        <v>10.129996692965401</v>
      </c>
      <c r="H57">
        <v>4.0183368500722798</v>
      </c>
      <c r="I57">
        <v>2.3943300935792999</v>
      </c>
      <c r="J57">
        <v>230.77249086307299</v>
      </c>
      <c r="K57">
        <v>35.260861435171002</v>
      </c>
      <c r="L57">
        <v>11.452924587624301</v>
      </c>
      <c r="M57">
        <v>4.4735449609671898</v>
      </c>
      <c r="N57">
        <v>2.9759880343597498</v>
      </c>
      <c r="O57">
        <v>196.40891033402499</v>
      </c>
      <c r="P57">
        <v>0.194888836825135</v>
      </c>
      <c r="Q57">
        <v>4.3896032213717899E-2</v>
      </c>
      <c r="R57">
        <v>1.7412547028651301E-2</v>
      </c>
      <c r="S57">
        <v>1.0375283833114901E-2</v>
      </c>
      <c r="T57">
        <v>0.17952780948279901</v>
      </c>
      <c r="U57">
        <v>5.8311634478022199E-2</v>
      </c>
      <c r="V57">
        <v>2.27766904941289E-2</v>
      </c>
      <c r="W57">
        <v>1.51520011454603E-2</v>
      </c>
    </row>
    <row r="58" spans="1:23">
      <c r="A58">
        <v>59</v>
      </c>
      <c r="B58">
        <v>19</v>
      </c>
      <c r="C58">
        <v>19</v>
      </c>
      <c r="D58" t="s">
        <v>202</v>
      </c>
      <c r="E58">
        <v>3</v>
      </c>
      <c r="F58">
        <v>22.9933931838471</v>
      </c>
      <c r="G58">
        <v>5.2442589703490903</v>
      </c>
      <c r="H58">
        <v>3.38062158619383</v>
      </c>
      <c r="I58">
        <v>1.6989541010323499</v>
      </c>
      <c r="J58">
        <v>132.88792428190899</v>
      </c>
      <c r="K58">
        <v>43.303276464064197</v>
      </c>
      <c r="L58">
        <v>8.0551344150767701</v>
      </c>
      <c r="M58">
        <v>3.0930718147916898</v>
      </c>
      <c r="N58">
        <v>2.40952519177418</v>
      </c>
      <c r="O58">
        <v>222.32858807115301</v>
      </c>
      <c r="P58">
        <v>0.173028462202997</v>
      </c>
      <c r="Q58">
        <v>3.9463773692663698E-2</v>
      </c>
      <c r="R58">
        <v>2.5439644756751301E-2</v>
      </c>
      <c r="S58">
        <v>1.27848644653986E-2</v>
      </c>
      <c r="T58">
        <v>0.19477151741819901</v>
      </c>
      <c r="U58">
        <v>3.6230763146387797E-2</v>
      </c>
      <c r="V58">
        <v>1.39121641603814E-2</v>
      </c>
      <c r="W58">
        <v>1.08376759492713E-2</v>
      </c>
    </row>
    <row r="59" spans="1:23">
      <c r="A59">
        <v>21</v>
      </c>
      <c r="B59">
        <v>61</v>
      </c>
      <c r="C59">
        <v>61</v>
      </c>
      <c r="D59" t="s">
        <v>741</v>
      </c>
      <c r="E59">
        <v>1</v>
      </c>
      <c r="F59">
        <v>35.049254312004003</v>
      </c>
      <c r="G59">
        <v>19.0853977166812</v>
      </c>
      <c r="H59">
        <v>7.1598551004299997</v>
      </c>
      <c r="I59">
        <v>3.0714892416559101</v>
      </c>
      <c r="J59">
        <v>176.94340793605701</v>
      </c>
      <c r="K59">
        <v>42.398779997270097</v>
      </c>
      <c r="L59">
        <v>16.1768154923498</v>
      </c>
      <c r="M59">
        <v>8.7966729201313107</v>
      </c>
      <c r="N59">
        <v>4.5919724943708502</v>
      </c>
      <c r="O59">
        <v>222.27634816918899</v>
      </c>
      <c r="P59">
        <v>0.198081718447912</v>
      </c>
      <c r="Q59">
        <v>0.107861592241844</v>
      </c>
      <c r="R59">
        <v>4.04640963116151E-2</v>
      </c>
      <c r="S59">
        <v>1.7358596612798802E-2</v>
      </c>
      <c r="T59">
        <v>0.19074805010291801</v>
      </c>
      <c r="U59">
        <v>7.2777943427595596E-2</v>
      </c>
      <c r="V59">
        <v>3.9575388891289497E-2</v>
      </c>
      <c r="W59">
        <v>2.0658844416840998E-2</v>
      </c>
    </row>
    <row r="60" spans="1:23">
      <c r="A60">
        <v>52</v>
      </c>
      <c r="B60">
        <v>62</v>
      </c>
      <c r="C60">
        <v>62</v>
      </c>
      <c r="D60" t="s">
        <v>745</v>
      </c>
      <c r="E60">
        <v>1</v>
      </c>
      <c r="F60">
        <v>53.319736433350101</v>
      </c>
      <c r="G60">
        <v>13.708711165765299</v>
      </c>
      <c r="H60">
        <v>5.7081091594127997</v>
      </c>
      <c r="I60">
        <v>3.0812839127587099</v>
      </c>
      <c r="J60">
        <v>242.99615933296801</v>
      </c>
      <c r="K60">
        <v>63.226630730391697</v>
      </c>
      <c r="L60">
        <v>15.3007149011032</v>
      </c>
      <c r="M60">
        <v>6.7116444902881804</v>
      </c>
      <c r="N60">
        <v>4.021223207467</v>
      </c>
      <c r="O60">
        <v>257.43426119131902</v>
      </c>
      <c r="P60">
        <v>0.21942625175523101</v>
      </c>
      <c r="Q60">
        <v>5.6415340898375202E-2</v>
      </c>
      <c r="R60">
        <v>2.3490532422741701E-2</v>
      </c>
      <c r="S60">
        <v>1.2680381127080099E-2</v>
      </c>
      <c r="T60">
        <v>0.245603015068003</v>
      </c>
      <c r="U60">
        <v>5.9435425690025301E-2</v>
      </c>
      <c r="V60">
        <v>2.6071294703467002E-2</v>
      </c>
      <c r="W60">
        <v>1.5620388633813299E-2</v>
      </c>
    </row>
    <row r="61" spans="1:23">
      <c r="A61">
        <v>77</v>
      </c>
      <c r="B61">
        <v>42</v>
      </c>
      <c r="C61">
        <v>42</v>
      </c>
      <c r="D61" t="s">
        <v>219</v>
      </c>
      <c r="E61">
        <v>2</v>
      </c>
      <c r="F61">
        <v>25.247928631468699</v>
      </c>
      <c r="G61">
        <v>9.2226196407401506</v>
      </c>
      <c r="H61">
        <v>2.4912339652614301</v>
      </c>
      <c r="I61">
        <v>1.41530502336441</v>
      </c>
      <c r="J61">
        <v>146.65263817017899</v>
      </c>
      <c r="K61">
        <v>48.716050090003101</v>
      </c>
      <c r="L61">
        <v>15.683528835395601</v>
      </c>
      <c r="M61">
        <v>5.4721142839469996</v>
      </c>
      <c r="N61">
        <v>3.3114167295847401</v>
      </c>
      <c r="O61">
        <v>364.12519389420697</v>
      </c>
      <c r="P61">
        <v>0.172161434983328</v>
      </c>
      <c r="Q61">
        <v>6.2887512668118803E-2</v>
      </c>
      <c r="R61">
        <v>1.6987310943363702E-2</v>
      </c>
      <c r="S61">
        <v>9.6507300586168802E-3</v>
      </c>
      <c r="T61">
        <v>0.133789287055367</v>
      </c>
      <c r="U61">
        <v>4.3071803594980897E-2</v>
      </c>
      <c r="V61">
        <v>1.50281122419035E-2</v>
      </c>
      <c r="W61">
        <v>9.0941708651635905E-3</v>
      </c>
    </row>
    <row r="62" spans="1:23">
      <c r="A62">
        <v>71</v>
      </c>
      <c r="B62">
        <v>63</v>
      </c>
      <c r="C62">
        <v>63</v>
      </c>
      <c r="D62" t="s">
        <v>820</v>
      </c>
      <c r="E62">
        <v>1</v>
      </c>
      <c r="F62">
        <v>51.5326585476503</v>
      </c>
      <c r="G62">
        <v>22.268937463095501</v>
      </c>
      <c r="H62">
        <v>5.6002399534122898</v>
      </c>
      <c r="I62">
        <v>2.5303300547313299</v>
      </c>
      <c r="J62">
        <v>225.16140117735301</v>
      </c>
      <c r="K62">
        <v>128.64137441448901</v>
      </c>
      <c r="L62">
        <v>53.527676605234802</v>
      </c>
      <c r="M62">
        <v>16.517737789444599</v>
      </c>
      <c r="N62">
        <v>6.8281101297158902</v>
      </c>
      <c r="O62">
        <v>504.04585103762798</v>
      </c>
      <c r="P62">
        <v>0.228869860811799</v>
      </c>
      <c r="Q62">
        <v>9.8902109094422194E-2</v>
      </c>
      <c r="R62">
        <v>2.4872113622179601E-2</v>
      </c>
      <c r="S62">
        <v>1.12378500111494E-2</v>
      </c>
      <c r="T62">
        <v>0.25521760401294402</v>
      </c>
      <c r="U62">
        <v>0.10619604644109799</v>
      </c>
      <c r="V62">
        <v>3.27703080095616E-2</v>
      </c>
      <c r="W62">
        <v>1.3546605166295E-2</v>
      </c>
    </row>
    <row r="63" spans="1:23">
      <c r="A63">
        <v>39</v>
      </c>
      <c r="B63">
        <v>64</v>
      </c>
      <c r="C63">
        <v>64</v>
      </c>
      <c r="D63" t="s">
        <v>749</v>
      </c>
      <c r="E63">
        <v>1</v>
      </c>
      <c r="F63">
        <v>18.783973190855999</v>
      </c>
      <c r="G63">
        <v>9.1530691091368297</v>
      </c>
      <c r="H63">
        <v>3.9416163586308901</v>
      </c>
      <c r="I63">
        <v>0.67880631283616299</v>
      </c>
      <c r="J63">
        <v>208.76684143219799</v>
      </c>
      <c r="K63">
        <v>56.503439866930698</v>
      </c>
      <c r="L63">
        <v>9.5812998833334007</v>
      </c>
      <c r="M63">
        <v>10.3879017620607</v>
      </c>
      <c r="N63">
        <v>2.5867091457973999</v>
      </c>
      <c r="O63">
        <v>183.73608847658301</v>
      </c>
      <c r="P63">
        <v>8.9975846077819804E-2</v>
      </c>
      <c r="Q63">
        <v>4.3843500463695603E-2</v>
      </c>
      <c r="R63">
        <v>1.8880471302771599E-2</v>
      </c>
      <c r="S63">
        <v>3.2515044447641501E-3</v>
      </c>
      <c r="T63">
        <v>0.30752499596252197</v>
      </c>
      <c r="U63">
        <v>5.2147076618290697E-2</v>
      </c>
      <c r="V63">
        <v>5.6537079069170902E-2</v>
      </c>
      <c r="W63">
        <v>1.40783945453757E-2</v>
      </c>
    </row>
    <row r="64" spans="1:23">
      <c r="A64">
        <v>22</v>
      </c>
      <c r="B64">
        <v>65</v>
      </c>
      <c r="C64">
        <v>65</v>
      </c>
      <c r="D64" t="s">
        <v>751</v>
      </c>
      <c r="E64">
        <v>1</v>
      </c>
      <c r="F64">
        <v>48.252795372278896</v>
      </c>
      <c r="G64">
        <v>8.2790458961847992</v>
      </c>
      <c r="H64">
        <v>3.3699723879693</v>
      </c>
      <c r="I64">
        <v>2.28582489078731</v>
      </c>
      <c r="J64">
        <v>267.22485595208298</v>
      </c>
      <c r="K64">
        <v>48.167130441586202</v>
      </c>
      <c r="L64">
        <v>13.1335317308427</v>
      </c>
      <c r="M64">
        <v>5.1259111635132601</v>
      </c>
      <c r="N64">
        <v>4.1569544663813698</v>
      </c>
      <c r="O64">
        <v>304.88715208931097</v>
      </c>
      <c r="P64">
        <v>0.18057001172425099</v>
      </c>
      <c r="Q64">
        <v>3.0981571181646898E-2</v>
      </c>
      <c r="R64">
        <v>1.2610998987959299E-2</v>
      </c>
      <c r="S64">
        <v>8.5539381531079903E-3</v>
      </c>
      <c r="T64">
        <v>0.15798347064318599</v>
      </c>
      <c r="U64">
        <v>4.3076697856377501E-2</v>
      </c>
      <c r="V64">
        <v>1.68124866147581E-2</v>
      </c>
      <c r="W64">
        <v>1.3634403542080601E-2</v>
      </c>
    </row>
    <row r="65" spans="1:23">
      <c r="A65">
        <v>79</v>
      </c>
      <c r="B65">
        <v>23</v>
      </c>
      <c r="C65">
        <v>23</v>
      </c>
      <c r="D65" t="s">
        <v>223</v>
      </c>
      <c r="E65">
        <v>3</v>
      </c>
      <c r="F65">
        <v>40.833696424180502</v>
      </c>
      <c r="G65">
        <v>12.623452814385701</v>
      </c>
      <c r="H65">
        <v>4.9939839579932697</v>
      </c>
      <c r="I65">
        <v>1.9108029043761099</v>
      </c>
      <c r="J65">
        <v>279.01720552325099</v>
      </c>
      <c r="K65">
        <v>68.074596177955101</v>
      </c>
      <c r="L65">
        <v>16.8203074042659</v>
      </c>
      <c r="M65">
        <v>4.6880649117121198</v>
      </c>
      <c r="N65">
        <v>2.0328504199922799</v>
      </c>
      <c r="O65">
        <v>315.99351961820099</v>
      </c>
      <c r="P65">
        <v>0.146348309766789</v>
      </c>
      <c r="Q65">
        <v>4.5242560546445397E-2</v>
      </c>
      <c r="R65">
        <v>1.7898480305642301E-2</v>
      </c>
      <c r="S65">
        <v>6.8483336029142496E-3</v>
      </c>
      <c r="T65">
        <v>0.215430355218064</v>
      </c>
      <c r="U65">
        <v>5.3229912513994102E-2</v>
      </c>
      <c r="V65">
        <v>1.48359527036392E-2</v>
      </c>
      <c r="W65">
        <v>6.4332028784909101E-3</v>
      </c>
    </row>
    <row r="66" spans="1:23">
      <c r="A66">
        <v>63</v>
      </c>
      <c r="B66">
        <v>22</v>
      </c>
      <c r="C66">
        <v>22</v>
      </c>
      <c r="D66" t="s">
        <v>753</v>
      </c>
      <c r="E66">
        <v>3</v>
      </c>
      <c r="F66">
        <v>49.337943226438199</v>
      </c>
      <c r="G66">
        <v>12.931124915488899</v>
      </c>
      <c r="H66">
        <v>5.3570091184259701</v>
      </c>
      <c r="I66">
        <v>3.3697669285460399</v>
      </c>
      <c r="J66">
        <v>209.91723066602</v>
      </c>
      <c r="K66">
        <v>71.755827403776607</v>
      </c>
      <c r="L66">
        <v>16.605757963301599</v>
      </c>
      <c r="M66">
        <v>7.2514774914174902</v>
      </c>
      <c r="N66">
        <v>5.1134624436912599</v>
      </c>
      <c r="O66">
        <v>345.18502988181802</v>
      </c>
      <c r="P66">
        <v>0.235035223501663</v>
      </c>
      <c r="Q66">
        <v>6.1601064736140798E-2</v>
      </c>
      <c r="R66">
        <v>2.5519625527782499E-2</v>
      </c>
      <c r="S66">
        <v>1.6052836243382801E-2</v>
      </c>
      <c r="T66">
        <v>0.20787641755015801</v>
      </c>
      <c r="U66">
        <v>4.81068311942352E-2</v>
      </c>
      <c r="V66">
        <v>2.1007508621970698E-2</v>
      </c>
      <c r="W66">
        <v>1.48136854180553E-2</v>
      </c>
    </row>
    <row r="67" spans="1:23">
      <c r="A67">
        <v>75</v>
      </c>
      <c r="B67">
        <v>66</v>
      </c>
      <c r="C67">
        <v>66</v>
      </c>
      <c r="D67" t="s">
        <v>218</v>
      </c>
      <c r="E67">
        <v>1</v>
      </c>
      <c r="F67">
        <v>48.220874629894297</v>
      </c>
      <c r="G67">
        <v>23.3077316006883</v>
      </c>
      <c r="H67">
        <v>11.169247943018</v>
      </c>
      <c r="I67">
        <v>3.6314920943210098</v>
      </c>
      <c r="J67">
        <v>217.84056267726399</v>
      </c>
      <c r="K67">
        <v>59.505107158665297</v>
      </c>
      <c r="L67">
        <v>34.823382786021099</v>
      </c>
      <c r="M67">
        <v>13.068247959498301</v>
      </c>
      <c r="N67">
        <v>5.6716857663131099</v>
      </c>
      <c r="O67">
        <v>222.75312116660501</v>
      </c>
      <c r="P67">
        <v>0.221358566270942</v>
      </c>
      <c r="Q67">
        <v>0.10699445187909901</v>
      </c>
      <c r="R67">
        <v>5.1272581220631101E-2</v>
      </c>
      <c r="S67">
        <v>1.6670412753666802E-2</v>
      </c>
      <c r="T67">
        <v>0.26713478512455602</v>
      </c>
      <c r="U67">
        <v>0.15633173893880301</v>
      </c>
      <c r="V67">
        <v>5.8666957800892497E-2</v>
      </c>
      <c r="W67">
        <v>2.5461756659611801E-2</v>
      </c>
    </row>
    <row r="68" spans="1:23">
      <c r="A68">
        <v>72</v>
      </c>
      <c r="B68">
        <v>67</v>
      </c>
      <c r="C68">
        <v>67</v>
      </c>
      <c r="D68" t="s">
        <v>215</v>
      </c>
      <c r="E68">
        <v>1</v>
      </c>
      <c r="F68">
        <v>65.860129062315096</v>
      </c>
      <c r="G68">
        <v>18.636041854920901</v>
      </c>
      <c r="H68">
        <v>5.4665930638282498</v>
      </c>
      <c r="I68">
        <v>2.7934651801354602</v>
      </c>
      <c r="J68">
        <v>286.14814798791298</v>
      </c>
      <c r="K68">
        <v>87.624679501771695</v>
      </c>
      <c r="L68">
        <v>23.535006143706301</v>
      </c>
      <c r="M68">
        <v>8.4053314213477002</v>
      </c>
      <c r="N68">
        <v>3.7614714048598699</v>
      </c>
      <c r="O68">
        <v>319.83670459749902</v>
      </c>
      <c r="P68">
        <v>0.230160948185123</v>
      </c>
      <c r="Q68">
        <v>6.5127249594178996E-2</v>
      </c>
      <c r="R68">
        <v>1.9104065856330999E-2</v>
      </c>
      <c r="S68">
        <v>9.7623038966984706E-3</v>
      </c>
      <c r="T68">
        <v>0.27396692825497898</v>
      </c>
      <c r="U68">
        <v>7.3584444203563595E-2</v>
      </c>
      <c r="V68">
        <v>2.6280071363058401E-2</v>
      </c>
      <c r="W68">
        <v>1.1760599552179399E-2</v>
      </c>
    </row>
    <row r="69" spans="1:23">
      <c r="A69">
        <v>24</v>
      </c>
      <c r="B69">
        <v>68</v>
      </c>
      <c r="C69">
        <v>68</v>
      </c>
      <c r="D69" t="s">
        <v>758</v>
      </c>
      <c r="E69">
        <v>1</v>
      </c>
      <c r="F69">
        <v>48.492099630427099</v>
      </c>
      <c r="G69">
        <v>12.001098657775101</v>
      </c>
      <c r="H69">
        <v>5.0272005928073398</v>
      </c>
      <c r="I69">
        <v>2.5340259896203499</v>
      </c>
      <c r="J69">
        <v>224.689647452662</v>
      </c>
      <c r="K69">
        <v>44.9863063866283</v>
      </c>
      <c r="L69">
        <v>7.7037661746251498</v>
      </c>
      <c r="M69">
        <v>3.7628891594515101</v>
      </c>
      <c r="N69">
        <v>2.1621392583660701</v>
      </c>
      <c r="O69">
        <v>175.77992673684099</v>
      </c>
      <c r="P69">
        <v>0.215818130386463</v>
      </c>
      <c r="Q69">
        <v>5.3411889661287203E-2</v>
      </c>
      <c r="R69">
        <v>2.2373975168867001E-2</v>
      </c>
      <c r="S69">
        <v>1.1277893834224E-2</v>
      </c>
      <c r="T69">
        <v>0.25592402512476298</v>
      </c>
      <c r="U69">
        <v>4.3826199712543999E-2</v>
      </c>
      <c r="V69">
        <v>2.1406819477658001E-2</v>
      </c>
      <c r="W69">
        <v>1.23002625982601E-2</v>
      </c>
    </row>
    <row r="70" spans="1:23">
      <c r="B70">
        <v>79</v>
      </c>
      <c r="C70">
        <v>80</v>
      </c>
      <c r="D70" t="s">
        <v>513</v>
      </c>
      <c r="E70">
        <v>2</v>
      </c>
      <c r="F70">
        <v>40.790619780271697</v>
      </c>
      <c r="G70">
        <v>14.314426467618601</v>
      </c>
      <c r="H70">
        <v>5.61715511541132</v>
      </c>
      <c r="I70">
        <v>2.5731554077987502</v>
      </c>
      <c r="J70">
        <v>232.405727368317</v>
      </c>
      <c r="K70">
        <v>45.468675065780097</v>
      </c>
      <c r="L70">
        <v>13.946357079302</v>
      </c>
      <c r="M70">
        <v>7.0021785107420103</v>
      </c>
      <c r="N70">
        <v>4.0968387830768096</v>
      </c>
      <c r="O70">
        <v>245.147518643902</v>
      </c>
      <c r="P70">
        <v>0.175514692525743</v>
      </c>
      <c r="Q70">
        <v>6.1592399764456199E-2</v>
      </c>
      <c r="R70">
        <v>2.41696070876482E-2</v>
      </c>
      <c r="S70">
        <v>1.10718244207502E-2</v>
      </c>
      <c r="T70">
        <v>0.185474751355029</v>
      </c>
      <c r="U70">
        <v>5.6889652224301201E-2</v>
      </c>
      <c r="V70">
        <v>2.8563122113070501E-2</v>
      </c>
      <c r="W70">
        <v>1.67117285369216E-2</v>
      </c>
    </row>
    <row r="71" spans="1:23">
      <c r="A71">
        <v>6</v>
      </c>
      <c r="B71">
        <v>24</v>
      </c>
      <c r="C71">
        <v>24</v>
      </c>
      <c r="D71" t="s">
        <v>761</v>
      </c>
      <c r="E71">
        <v>3</v>
      </c>
      <c r="F71">
        <v>40.7345757732813</v>
      </c>
      <c r="G71">
        <v>11.512114529990299</v>
      </c>
      <c r="H71">
        <v>4.6041237368538299</v>
      </c>
      <c r="I71">
        <v>2.2279926838246702</v>
      </c>
      <c r="J71">
        <v>202.277596057339</v>
      </c>
      <c r="K71">
        <v>101.920237310517</v>
      </c>
      <c r="L71">
        <v>15.0889394494901</v>
      </c>
      <c r="M71">
        <v>7.1561269510094103</v>
      </c>
      <c r="N71">
        <v>5.6802862279678701</v>
      </c>
      <c r="O71">
        <v>463.89513353985501</v>
      </c>
      <c r="P71">
        <v>0.20137957226728401</v>
      </c>
      <c r="Q71">
        <v>5.6912454737335597E-2</v>
      </c>
      <c r="R71">
        <v>2.27614121711666E-2</v>
      </c>
      <c r="S71">
        <v>1.10145301667176E-2</v>
      </c>
      <c r="T71">
        <v>0.21970533843024401</v>
      </c>
      <c r="U71">
        <v>3.2526617242889799E-2</v>
      </c>
      <c r="V71">
        <v>1.54261737914838E-2</v>
      </c>
      <c r="W71">
        <v>1.22447635624525E-2</v>
      </c>
    </row>
    <row r="72" spans="1:23">
      <c r="A72">
        <v>46</v>
      </c>
      <c r="B72">
        <v>25</v>
      </c>
      <c r="C72">
        <v>25</v>
      </c>
      <c r="D72" t="s">
        <v>763</v>
      </c>
      <c r="E72">
        <v>3</v>
      </c>
      <c r="F72">
        <v>69.989337487584294</v>
      </c>
      <c r="G72">
        <v>15.703990169300299</v>
      </c>
      <c r="H72">
        <v>6.21100657217458</v>
      </c>
      <c r="I72">
        <v>3.1998039213946998</v>
      </c>
      <c r="J72">
        <v>315.08245903675697</v>
      </c>
      <c r="K72">
        <v>53.249808142294803</v>
      </c>
      <c r="L72">
        <v>19.5378034502865</v>
      </c>
      <c r="M72">
        <v>7.7685287958711298</v>
      </c>
      <c r="N72">
        <v>4.2177909465246897</v>
      </c>
      <c r="O72">
        <v>339.02912249400401</v>
      </c>
      <c r="P72">
        <v>0.22213022489906201</v>
      </c>
      <c r="Q72">
        <v>4.9840889960390503E-2</v>
      </c>
      <c r="R72">
        <v>1.9712320994200401E-2</v>
      </c>
      <c r="S72">
        <v>1.01554492470855E-2</v>
      </c>
      <c r="T72">
        <v>0.157065587022651</v>
      </c>
      <c r="U72">
        <v>5.7628687785168303E-2</v>
      </c>
      <c r="V72">
        <v>2.2914045668771501E-2</v>
      </c>
      <c r="W72">
        <v>1.2440792447260301E-2</v>
      </c>
    </row>
    <row r="73" spans="1:23">
      <c r="B73">
        <v>80</v>
      </c>
      <c r="C73">
        <v>81</v>
      </c>
      <c r="D73" t="s">
        <v>769</v>
      </c>
      <c r="E73">
        <v>1</v>
      </c>
      <c r="F73">
        <v>27.6691730080484</v>
      </c>
      <c r="G73">
        <v>10.859122279013899</v>
      </c>
      <c r="H73">
        <v>2.5821885624752201</v>
      </c>
      <c r="I73">
        <v>0.76678642730592395</v>
      </c>
      <c r="J73">
        <v>82.5287924456062</v>
      </c>
      <c r="K73">
        <v>15.084910965665999</v>
      </c>
      <c r="L73">
        <v>4.97049379152649</v>
      </c>
      <c r="M73">
        <v>1.8569971780749099</v>
      </c>
      <c r="N73">
        <v>0.97798035086194701</v>
      </c>
      <c r="O73">
        <v>92.513478499509304</v>
      </c>
      <c r="P73">
        <v>0.33526690731946401</v>
      </c>
      <c r="Q73">
        <v>0.13157980332949901</v>
      </c>
      <c r="R73">
        <v>3.1288335694201599E-2</v>
      </c>
      <c r="S73">
        <v>9.2911383358880995E-3</v>
      </c>
      <c r="T73">
        <v>0.16305635903363</v>
      </c>
      <c r="U73">
        <v>5.37272392319878E-2</v>
      </c>
      <c r="V73">
        <v>2.0072720301882899E-2</v>
      </c>
      <c r="W73">
        <v>1.0571220180280399E-2</v>
      </c>
    </row>
    <row r="74" spans="1:23">
      <c r="A74">
        <v>14</v>
      </c>
      <c r="B74">
        <v>69</v>
      </c>
      <c r="C74">
        <v>69</v>
      </c>
      <c r="D74" t="s">
        <v>767</v>
      </c>
      <c r="E74">
        <v>2</v>
      </c>
      <c r="F74">
        <v>22.8899769082368</v>
      </c>
      <c r="G74">
        <v>3.8722840951130402</v>
      </c>
      <c r="H74">
        <v>1.8978940171505001</v>
      </c>
      <c r="I74">
        <v>1.0761634073194</v>
      </c>
      <c r="J74">
        <v>115.770885006255</v>
      </c>
      <c r="K74">
        <v>36.215300532228802</v>
      </c>
      <c r="L74">
        <v>6.5791502316834602</v>
      </c>
      <c r="M74">
        <v>3.0234439263333401</v>
      </c>
      <c r="N74">
        <v>2.2071360883786202</v>
      </c>
      <c r="O74">
        <v>196.635183098559</v>
      </c>
      <c r="P74">
        <v>0.19771790555976201</v>
      </c>
      <c r="Q74">
        <v>3.3447823214825E-2</v>
      </c>
      <c r="R74">
        <v>1.6393534670206301E-2</v>
      </c>
      <c r="S74">
        <v>9.2956308251531394E-3</v>
      </c>
      <c r="T74">
        <v>0.18417507976726999</v>
      </c>
      <c r="U74">
        <v>3.3458662524222901E-2</v>
      </c>
      <c r="V74">
        <v>1.5375905159444E-2</v>
      </c>
      <c r="W74">
        <v>1.12245227613837E-2</v>
      </c>
    </row>
    <row r="75" spans="1:23">
      <c r="A75">
        <v>53</v>
      </c>
      <c r="B75">
        <v>26</v>
      </c>
      <c r="C75">
        <v>26</v>
      </c>
      <c r="D75" t="s">
        <v>765</v>
      </c>
      <c r="E75">
        <v>3</v>
      </c>
      <c r="F75">
        <v>76.787151130389901</v>
      </c>
      <c r="G75">
        <v>13.0315438171849</v>
      </c>
      <c r="H75">
        <v>4.8766553624954296</v>
      </c>
      <c r="I75">
        <v>3.5787321610179901</v>
      </c>
      <c r="J75">
        <v>392.144910550166</v>
      </c>
      <c r="K75">
        <v>86.867403838387105</v>
      </c>
      <c r="L75">
        <v>15.2244106042496</v>
      </c>
      <c r="M75">
        <v>4.9719026742211403</v>
      </c>
      <c r="N75">
        <v>2.9405106095695399</v>
      </c>
      <c r="O75">
        <v>413.65241585487001</v>
      </c>
      <c r="P75">
        <v>0.195813203396316</v>
      </c>
      <c r="Q75">
        <v>3.3231449565167402E-2</v>
      </c>
      <c r="R75">
        <v>1.2435850195412899E-2</v>
      </c>
      <c r="S75">
        <v>9.1260451550860405E-3</v>
      </c>
      <c r="T75">
        <v>0.21000095855566001</v>
      </c>
      <c r="U75">
        <v>3.68048390888428E-2</v>
      </c>
      <c r="V75">
        <v>1.20195180389459E-2</v>
      </c>
      <c r="W75">
        <v>7.1086508790056801E-3</v>
      </c>
    </row>
    <row r="76" spans="1:23">
      <c r="A76">
        <v>45</v>
      </c>
      <c r="B76">
        <v>70</v>
      </c>
      <c r="C76">
        <v>70</v>
      </c>
      <c r="D76" t="s">
        <v>771</v>
      </c>
      <c r="E76">
        <v>1</v>
      </c>
      <c r="F76">
        <v>55.9361435981113</v>
      </c>
      <c r="G76">
        <v>19.881267466795499</v>
      </c>
      <c r="H76">
        <v>9.4132706753760402</v>
      </c>
      <c r="I76">
        <v>2.4693110755637599</v>
      </c>
      <c r="J76">
        <v>222.97705216975399</v>
      </c>
      <c r="K76">
        <v>60.2669773097549</v>
      </c>
      <c r="L76">
        <v>17.017388704062299</v>
      </c>
      <c r="M76">
        <v>7.05518422562794</v>
      </c>
      <c r="N76">
        <v>2.7102160365811301</v>
      </c>
      <c r="O76">
        <v>234.20697509912699</v>
      </c>
      <c r="P76">
        <v>0.25086053947617298</v>
      </c>
      <c r="Q76">
        <v>8.9162841078640406E-2</v>
      </c>
      <c r="R76">
        <v>4.22163203960991E-2</v>
      </c>
      <c r="S76">
        <v>1.1074283436502901E-2</v>
      </c>
      <c r="T76">
        <v>0.25732358006949602</v>
      </c>
      <c r="U76">
        <v>7.2659615269185601E-2</v>
      </c>
      <c r="V76">
        <v>3.0123715242220499E-2</v>
      </c>
      <c r="W76">
        <v>1.1571884378909001E-2</v>
      </c>
    </row>
    <row r="77" spans="1:23">
      <c r="A77">
        <v>55</v>
      </c>
      <c r="B77">
        <v>71</v>
      </c>
      <c r="C77">
        <v>71</v>
      </c>
      <c r="D77" t="s">
        <v>4</v>
      </c>
      <c r="E77">
        <v>1</v>
      </c>
      <c r="F77">
        <v>63.021700827812303</v>
      </c>
      <c r="G77">
        <v>13.8413733625919</v>
      </c>
      <c r="H77">
        <v>6.0885291270580497</v>
      </c>
      <c r="I77">
        <v>3.0151064629757398</v>
      </c>
      <c r="J77">
        <v>387.32595353091301</v>
      </c>
      <c r="K77">
        <v>65.141273368162203</v>
      </c>
      <c r="L77">
        <v>13.397730415871401</v>
      </c>
      <c r="M77">
        <v>6.5281813089322203</v>
      </c>
      <c r="N77">
        <v>3.9075434638608999</v>
      </c>
      <c r="O77">
        <v>290.50476523983201</v>
      </c>
      <c r="P77">
        <v>0.162709728726667</v>
      </c>
      <c r="Q77">
        <v>3.5735723972050201E-2</v>
      </c>
      <c r="R77">
        <v>1.5719393631008299E-2</v>
      </c>
      <c r="S77">
        <v>7.7844162919877601E-3</v>
      </c>
      <c r="T77">
        <v>0.224234784287905</v>
      </c>
      <c r="U77">
        <v>4.6118797413910298E-2</v>
      </c>
      <c r="V77">
        <v>2.24718561967228E-2</v>
      </c>
      <c r="W77">
        <v>1.34508756186321E-2</v>
      </c>
    </row>
    <row r="78" spans="1:23">
      <c r="A78">
        <v>31</v>
      </c>
      <c r="B78">
        <v>27</v>
      </c>
      <c r="C78">
        <v>27</v>
      </c>
      <c r="D78" t="s">
        <v>774</v>
      </c>
      <c r="E78">
        <v>3</v>
      </c>
      <c r="F78">
        <v>36.607999323872903</v>
      </c>
      <c r="G78">
        <v>16.688308659981502</v>
      </c>
      <c r="H78">
        <v>7.2673396541148296</v>
      </c>
      <c r="I78">
        <v>3.2697547198209098</v>
      </c>
      <c r="J78">
        <v>165.21790536354499</v>
      </c>
      <c r="K78">
        <v>52.779245533053597</v>
      </c>
      <c r="L78">
        <v>26.710829887194599</v>
      </c>
      <c r="M78">
        <v>9.1677569179258001</v>
      </c>
      <c r="N78">
        <v>5.7482791578511501</v>
      </c>
      <c r="O78">
        <v>277.430522115673</v>
      </c>
      <c r="P78">
        <v>0.22157404334185701</v>
      </c>
      <c r="Q78">
        <v>0.10100786971763499</v>
      </c>
      <c r="R78">
        <v>4.3986392625689097E-2</v>
      </c>
      <c r="S78">
        <v>1.9790559096038399E-2</v>
      </c>
      <c r="T78">
        <v>0.19024311070952599</v>
      </c>
      <c r="U78">
        <v>9.6279348369815193E-2</v>
      </c>
      <c r="V78">
        <v>3.30452354269202E-2</v>
      </c>
      <c r="W78">
        <v>2.0719707096447201E-2</v>
      </c>
    </row>
    <row r="79" spans="1:23">
      <c r="A79">
        <v>42</v>
      </c>
      <c r="B79">
        <v>28</v>
      </c>
      <c r="C79">
        <v>28</v>
      </c>
      <c r="D79" t="s">
        <v>776</v>
      </c>
      <c r="E79">
        <v>3</v>
      </c>
      <c r="F79">
        <v>45.193937300508303</v>
      </c>
      <c r="G79">
        <v>11.112740791115</v>
      </c>
      <c r="H79">
        <v>4.0525128545020204</v>
      </c>
      <c r="I79">
        <v>2.5973662449083799</v>
      </c>
      <c r="J79">
        <v>242.68439669692901</v>
      </c>
      <c r="K79">
        <v>71.914554772421596</v>
      </c>
      <c r="L79">
        <v>13.0614457403125</v>
      </c>
      <c r="M79">
        <v>5.3657347004945102</v>
      </c>
      <c r="N79">
        <v>3.7126148781247199</v>
      </c>
      <c r="O79">
        <v>303.260792013914</v>
      </c>
      <c r="P79">
        <v>0.18622514638610099</v>
      </c>
      <c r="Q79">
        <v>4.5790915865896897E-2</v>
      </c>
      <c r="R79">
        <v>1.66986955472169E-2</v>
      </c>
      <c r="S79">
        <v>1.0702650356842E-2</v>
      </c>
      <c r="T79">
        <v>0.23713766060837199</v>
      </c>
      <c r="U79">
        <v>4.3070011304703101E-2</v>
      </c>
      <c r="V79">
        <v>1.7693466619477499E-2</v>
      </c>
      <c r="W79">
        <v>1.22423174241211E-2</v>
      </c>
    </row>
    <row r="80" spans="1:23">
      <c r="A80">
        <v>43</v>
      </c>
      <c r="B80">
        <v>29</v>
      </c>
      <c r="C80">
        <v>29</v>
      </c>
      <c r="D80" t="s">
        <v>778</v>
      </c>
      <c r="E80">
        <v>3</v>
      </c>
      <c r="F80">
        <v>39.3847439864916</v>
      </c>
      <c r="G80">
        <v>8.9197557816108493</v>
      </c>
      <c r="H80">
        <v>3.7848538452175799</v>
      </c>
      <c r="I80">
        <v>2.3702698919405099</v>
      </c>
      <c r="J80">
        <v>165.80344419689399</v>
      </c>
      <c r="K80">
        <v>44.6169394256776</v>
      </c>
      <c r="L80">
        <v>9.0649684927050505</v>
      </c>
      <c r="M80">
        <v>3.88045378257844</v>
      </c>
      <c r="N80">
        <v>2.92553865712049</v>
      </c>
      <c r="O80">
        <v>191.014029397276</v>
      </c>
      <c r="P80">
        <v>0.23753875667215699</v>
      </c>
      <c r="Q80">
        <v>5.3797168236255001E-2</v>
      </c>
      <c r="R80">
        <v>2.2827353578512E-2</v>
      </c>
      <c r="S80">
        <v>1.4295661368323401E-2</v>
      </c>
      <c r="T80">
        <v>0.23357938454291299</v>
      </c>
      <c r="U80">
        <v>4.74570821908138E-2</v>
      </c>
      <c r="V80">
        <v>2.0315019764897899E-2</v>
      </c>
      <c r="W80">
        <v>1.53158313363249E-2</v>
      </c>
    </row>
    <row r="81" spans="1:23">
      <c r="B81">
        <v>81</v>
      </c>
      <c r="C81">
        <v>82</v>
      </c>
      <c r="D81" t="s">
        <v>780</v>
      </c>
      <c r="E81">
        <v>2</v>
      </c>
      <c r="F81">
        <v>31.551209394012499</v>
      </c>
      <c r="G81">
        <v>7.5298140847164898</v>
      </c>
      <c r="H81">
        <v>3.4571393470895599</v>
      </c>
      <c r="I81">
        <v>2.1900089711472601</v>
      </c>
      <c r="J81">
        <v>129.188163444396</v>
      </c>
      <c r="K81">
        <v>69.642116412114305</v>
      </c>
      <c r="L81">
        <v>14.5138184157371</v>
      </c>
      <c r="M81">
        <v>5.9181444206122196</v>
      </c>
      <c r="N81">
        <v>3.5358390443160799</v>
      </c>
      <c r="O81">
        <v>355.74273710986301</v>
      </c>
      <c r="P81">
        <v>0.24422678171744799</v>
      </c>
      <c r="Q81">
        <v>5.8285634565564501E-2</v>
      </c>
      <c r="R81">
        <v>2.6760496123761E-2</v>
      </c>
      <c r="S81">
        <v>1.6952086884413801E-2</v>
      </c>
      <c r="T81">
        <v>0.19576539208615501</v>
      </c>
      <c r="U81">
        <v>4.0798635929016301E-2</v>
      </c>
      <c r="V81">
        <v>1.6636023179819801E-2</v>
      </c>
      <c r="W81">
        <v>9.9393147785448895E-3</v>
      </c>
    </row>
    <row r="82" spans="1:23">
      <c r="A82">
        <v>54</v>
      </c>
      <c r="B82">
        <v>30</v>
      </c>
      <c r="C82">
        <v>30</v>
      </c>
      <c r="D82" t="s">
        <v>782</v>
      </c>
      <c r="E82">
        <v>3</v>
      </c>
      <c r="F82">
        <v>60.271892676773703</v>
      </c>
      <c r="G82">
        <v>13.2843367375424</v>
      </c>
      <c r="H82">
        <v>4.6605084803281596</v>
      </c>
      <c r="I82">
        <v>2.3072342962870702</v>
      </c>
      <c r="J82">
        <v>305.78109527962698</v>
      </c>
      <c r="K82">
        <v>69.986318499447606</v>
      </c>
      <c r="L82">
        <v>19.837684179698702</v>
      </c>
      <c r="M82">
        <v>7.3156179460835302</v>
      </c>
      <c r="N82">
        <v>4.2944852274830003</v>
      </c>
      <c r="O82">
        <v>312.99211065600002</v>
      </c>
      <c r="P82">
        <v>0.197107975630923</v>
      </c>
      <c r="Q82">
        <v>4.3443943862501597E-2</v>
      </c>
      <c r="R82">
        <v>1.5241323130412199E-2</v>
      </c>
      <c r="S82">
        <v>7.5453791352836199E-3</v>
      </c>
      <c r="T82">
        <v>0.22360409772873599</v>
      </c>
      <c r="U82">
        <v>6.33807802315558E-2</v>
      </c>
      <c r="V82">
        <v>2.3373170431519E-2</v>
      </c>
      <c r="W82">
        <v>1.3720745927052899E-2</v>
      </c>
    </row>
    <row r="83" spans="1:23">
      <c r="B83">
        <v>82</v>
      </c>
      <c r="C83">
        <v>83</v>
      </c>
      <c r="D83" t="s">
        <v>784</v>
      </c>
      <c r="E83">
        <v>1</v>
      </c>
      <c r="F83">
        <v>58.942597360901701</v>
      </c>
      <c r="G83">
        <v>11.0431319840859</v>
      </c>
      <c r="H83">
        <v>4.5315639352692303</v>
      </c>
      <c r="I83">
        <v>1.9648965376692999</v>
      </c>
      <c r="J83">
        <v>425.837614458058</v>
      </c>
      <c r="K83">
        <v>86.221800598790196</v>
      </c>
      <c r="L83">
        <v>12.2914889401232</v>
      </c>
      <c r="M83">
        <v>4.07353573079605</v>
      </c>
      <c r="N83">
        <v>2.6355853543946499</v>
      </c>
      <c r="O83">
        <v>494.065360079534</v>
      </c>
      <c r="P83">
        <v>0.13841566681683301</v>
      </c>
      <c r="Q83">
        <v>2.59327302454011E-2</v>
      </c>
      <c r="R83">
        <v>1.0641530436516999E-2</v>
      </c>
      <c r="S83">
        <v>4.61419205574389E-3</v>
      </c>
      <c r="T83">
        <v>0.17451496819147599</v>
      </c>
      <c r="U83">
        <v>2.48782649691217E-2</v>
      </c>
      <c r="V83">
        <v>8.2449328771810604E-3</v>
      </c>
      <c r="W83">
        <v>5.33448723053641E-3</v>
      </c>
    </row>
    <row r="84" spans="1:23">
      <c r="B84">
        <v>83</v>
      </c>
      <c r="C84">
        <v>84</v>
      </c>
      <c r="D84" t="s">
        <v>786</v>
      </c>
      <c r="E84">
        <v>2</v>
      </c>
      <c r="F84">
        <v>28.495598944911599</v>
      </c>
      <c r="G84">
        <v>7.0138802845979997</v>
      </c>
      <c r="H84">
        <v>3.3058827847738699</v>
      </c>
      <c r="I84">
        <v>2.6098927541264398</v>
      </c>
      <c r="J84">
        <v>136.96622036609199</v>
      </c>
      <c r="K84">
        <v>27.402136661125699</v>
      </c>
      <c r="L84">
        <v>6.7890473888796299</v>
      </c>
      <c r="M84">
        <v>3.4407809669737399</v>
      </c>
      <c r="N84">
        <v>2.33406729692781</v>
      </c>
      <c r="O84">
        <v>134.22297055080401</v>
      </c>
      <c r="P84">
        <v>0.20804837038465901</v>
      </c>
      <c r="Q84">
        <v>5.12088328483538E-2</v>
      </c>
      <c r="R84">
        <v>2.4136482527864898E-2</v>
      </c>
      <c r="S84">
        <v>1.9055010404394199E-2</v>
      </c>
      <c r="T84">
        <v>0.20415385346246501</v>
      </c>
      <c r="U84">
        <v>5.0580369075574297E-2</v>
      </c>
      <c r="V84">
        <v>2.5634814613728001E-2</v>
      </c>
      <c r="W84">
        <v>1.73894772805997E-2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85A3-501E-4840-A9A9-57972D7C45BB}">
  <dimension ref="A1:BY86"/>
  <sheetViews>
    <sheetView tabSelected="1" topLeftCell="AO19" workbookViewId="0">
      <selection activeCell="BB29" sqref="BB29"/>
    </sheetView>
  </sheetViews>
  <sheetFormatPr defaultRowHeight="14"/>
  <cols>
    <col min="1" max="3" width="8.6640625" style="80"/>
    <col min="4" max="9" width="19.58203125" style="80" customWidth="1"/>
    <col min="10" max="10" width="8.75" style="80" customWidth="1"/>
    <col min="11" max="11" width="12.08203125" style="80" customWidth="1"/>
    <col min="12" max="16384" width="8.6640625" style="80"/>
  </cols>
  <sheetData>
    <row r="1" spans="1:77" s="49" customFormat="1" ht="70">
      <c r="A1" s="81" t="s">
        <v>600</v>
      </c>
      <c r="B1" s="81" t="s">
        <v>601</v>
      </c>
      <c r="C1" s="81" t="s">
        <v>602</v>
      </c>
      <c r="D1" s="81" t="s">
        <v>603</v>
      </c>
      <c r="E1" s="81" t="s">
        <v>102</v>
      </c>
      <c r="F1" s="81" t="s">
        <v>788</v>
      </c>
      <c r="G1" s="81" t="s">
        <v>506</v>
      </c>
      <c r="H1" s="81" t="s">
        <v>598</v>
      </c>
      <c r="I1" s="81" t="s">
        <v>317</v>
      </c>
      <c r="J1" s="38" t="s">
        <v>316</v>
      </c>
      <c r="K1" s="79" t="s">
        <v>576</v>
      </c>
      <c r="L1" s="82" t="s">
        <v>789</v>
      </c>
      <c r="M1" s="83" t="s">
        <v>790</v>
      </c>
      <c r="N1" s="83" t="s">
        <v>791</v>
      </c>
      <c r="O1" s="83" t="s">
        <v>604</v>
      </c>
      <c r="P1" s="83" t="s">
        <v>792</v>
      </c>
      <c r="Q1" s="83" t="s">
        <v>793</v>
      </c>
      <c r="R1" s="83" t="s">
        <v>794</v>
      </c>
      <c r="S1" s="83" t="s">
        <v>812</v>
      </c>
      <c r="T1" s="84" t="s">
        <v>795</v>
      </c>
      <c r="U1" s="84" t="s">
        <v>796</v>
      </c>
      <c r="V1" s="84" t="s">
        <v>797</v>
      </c>
      <c r="W1" s="84" t="s">
        <v>798</v>
      </c>
      <c r="X1" s="84" t="s">
        <v>799</v>
      </c>
      <c r="Y1" s="84" t="s">
        <v>800</v>
      </c>
      <c r="Z1" s="84" t="s">
        <v>801</v>
      </c>
      <c r="AA1" s="84" t="s">
        <v>802</v>
      </c>
      <c r="AB1" s="82" t="s">
        <v>821</v>
      </c>
      <c r="AC1" s="83" t="s">
        <v>822</v>
      </c>
      <c r="AD1" s="83" t="s">
        <v>823</v>
      </c>
      <c r="AE1" s="83" t="s">
        <v>824</v>
      </c>
      <c r="AF1" s="83" t="s">
        <v>825</v>
      </c>
      <c r="AG1" s="83" t="s">
        <v>826</v>
      </c>
      <c r="AH1" s="83" t="s">
        <v>827</v>
      </c>
      <c r="AI1" s="83" t="s">
        <v>828</v>
      </c>
      <c r="AJ1" s="84" t="s">
        <v>803</v>
      </c>
      <c r="AK1" s="84" t="s">
        <v>804</v>
      </c>
      <c r="AL1" s="84" t="s">
        <v>805</v>
      </c>
      <c r="AM1" s="84" t="s">
        <v>806</v>
      </c>
      <c r="AN1" s="84" t="s">
        <v>807</v>
      </c>
      <c r="AO1" s="84" t="s">
        <v>808</v>
      </c>
      <c r="AP1" s="84" t="s">
        <v>809</v>
      </c>
      <c r="AQ1" s="84" t="s">
        <v>810</v>
      </c>
      <c r="AR1" s="85" t="s">
        <v>605</v>
      </c>
      <c r="AS1" s="85" t="s">
        <v>606</v>
      </c>
      <c r="AT1" s="85" t="s">
        <v>607</v>
      </c>
      <c r="AU1" s="85" t="s">
        <v>608</v>
      </c>
      <c r="AV1" s="85" t="s">
        <v>609</v>
      </c>
      <c r="AW1" s="85" t="s">
        <v>610</v>
      </c>
      <c r="AX1" s="85" t="s">
        <v>611</v>
      </c>
      <c r="AY1" s="85" t="s">
        <v>612</v>
      </c>
      <c r="AZ1" s="84" t="s">
        <v>613</v>
      </c>
      <c r="BA1" s="84" t="s">
        <v>614</v>
      </c>
      <c r="BB1" s="84" t="s">
        <v>615</v>
      </c>
      <c r="BC1" s="84" t="s">
        <v>616</v>
      </c>
      <c r="BD1" s="84" t="s">
        <v>617</v>
      </c>
      <c r="BE1" s="84" t="s">
        <v>618</v>
      </c>
      <c r="BF1" s="84" t="s">
        <v>619</v>
      </c>
      <c r="BG1" s="84" t="s">
        <v>620</v>
      </c>
      <c r="BH1" s="85" t="s">
        <v>621</v>
      </c>
      <c r="BI1" s="85" t="s">
        <v>622</v>
      </c>
      <c r="BJ1" s="85" t="s">
        <v>623</v>
      </c>
      <c r="BK1" s="85" t="s">
        <v>624</v>
      </c>
      <c r="BL1" s="85" t="s">
        <v>625</v>
      </c>
      <c r="BM1" s="85" t="s">
        <v>626</v>
      </c>
      <c r="BN1" s="85" t="s">
        <v>627</v>
      </c>
      <c r="BO1" s="85" t="s">
        <v>628</v>
      </c>
      <c r="BP1" s="85" t="s">
        <v>629</v>
      </c>
      <c r="BQ1" s="85" t="s">
        <v>630</v>
      </c>
      <c r="BR1" s="84" t="s">
        <v>631</v>
      </c>
      <c r="BS1" s="84" t="s">
        <v>632</v>
      </c>
      <c r="BT1" s="84" t="s">
        <v>633</v>
      </c>
      <c r="BU1" s="84" t="s">
        <v>634</v>
      </c>
      <c r="BV1" s="84" t="s">
        <v>635</v>
      </c>
      <c r="BW1" s="84" t="s">
        <v>636</v>
      </c>
      <c r="BX1" s="84" t="s">
        <v>637</v>
      </c>
      <c r="BY1" s="84" t="s">
        <v>638</v>
      </c>
    </row>
    <row r="2" spans="1:77">
      <c r="A2" s="80">
        <v>1</v>
      </c>
      <c r="B2" s="49" t="s">
        <v>639</v>
      </c>
      <c r="C2" s="9">
        <v>3</v>
      </c>
      <c r="D2" s="49" t="s">
        <v>640</v>
      </c>
      <c r="E2" s="30" t="s">
        <v>641</v>
      </c>
      <c r="F2" s="30">
        <v>66989508</v>
      </c>
      <c r="G2" s="75">
        <v>33.571428571428569</v>
      </c>
      <c r="H2" s="80">
        <v>36.428571428571431</v>
      </c>
      <c r="I2" s="77">
        <v>67.131946273373728</v>
      </c>
      <c r="J2" s="30">
        <v>3797</v>
      </c>
      <c r="K2" s="77">
        <v>67.131946273373728</v>
      </c>
      <c r="L2" s="49">
        <v>0.225386171659056</v>
      </c>
      <c r="M2" s="49">
        <v>0.200150608378561</v>
      </c>
      <c r="N2" s="49">
        <v>0.189193137968339</v>
      </c>
      <c r="O2" s="49">
        <v>0.18159063598794201</v>
      </c>
      <c r="P2" s="49">
        <v>0.38340059696414502</v>
      </c>
      <c r="Q2" s="49">
        <v>0.33318902490290397</v>
      </c>
      <c r="R2" s="49">
        <v>0.29303886485159297</v>
      </c>
      <c r="S2" s="49">
        <v>0.270638163900977</v>
      </c>
      <c r="T2" s="49">
        <v>0.230773493688921</v>
      </c>
      <c r="U2" s="49">
        <v>0.20814979467311701</v>
      </c>
      <c r="V2" s="49">
        <v>0.193466645640651</v>
      </c>
      <c r="W2" s="49">
        <v>0.19104563830667201</v>
      </c>
      <c r="X2" s="49">
        <v>0.48109115099400601</v>
      </c>
      <c r="Y2" s="49">
        <v>0.34353996491290101</v>
      </c>
      <c r="Z2" s="49">
        <v>0.367507940767546</v>
      </c>
      <c r="AA2" s="49">
        <v>0.40645216144940999</v>
      </c>
      <c r="AB2" s="49">
        <v>0.55939393939394</v>
      </c>
      <c r="AC2" s="49">
        <v>0.55939393939394</v>
      </c>
      <c r="AD2" s="49">
        <v>0.55939393939394</v>
      </c>
      <c r="AE2" s="49">
        <v>0.55484848484848504</v>
      </c>
      <c r="AF2" s="49">
        <v>0.68308080808080796</v>
      </c>
      <c r="AG2" s="49">
        <v>0.69823232323232298</v>
      </c>
      <c r="AH2" s="49">
        <v>0.70959595959596</v>
      </c>
      <c r="AI2" s="49">
        <v>0.69696969696969702</v>
      </c>
      <c r="AJ2" s="49">
        <v>0.39235838430410103</v>
      </c>
      <c r="AK2" s="49">
        <v>0.39235838430410103</v>
      </c>
      <c r="AL2" s="49">
        <v>0.39235838430410103</v>
      </c>
      <c r="AM2" s="49">
        <v>0.38079544665453502</v>
      </c>
      <c r="AN2" s="49">
        <v>0.72823913646215799</v>
      </c>
      <c r="AO2" s="49">
        <v>0.61534417940132402</v>
      </c>
      <c r="AP2" s="49">
        <v>0.74994416089259297</v>
      </c>
      <c r="AQ2" s="49">
        <v>0.87273748686683505</v>
      </c>
      <c r="AR2" s="49">
        <v>0.30512820512820499</v>
      </c>
      <c r="AS2" s="49">
        <v>0.30512820512820499</v>
      </c>
      <c r="AT2" s="49">
        <v>0.30512820512820499</v>
      </c>
      <c r="AU2" s="49">
        <v>0.28717948717948699</v>
      </c>
      <c r="AV2" s="49">
        <v>0.64945054945055003</v>
      </c>
      <c r="AW2" s="49">
        <v>0.50805860805860803</v>
      </c>
      <c r="AX2" s="49">
        <v>0.54487179487179505</v>
      </c>
      <c r="AY2" s="49">
        <v>0.696703296703297</v>
      </c>
      <c r="AZ2" s="49">
        <v>2.3818181818181801</v>
      </c>
      <c r="BA2" s="49">
        <v>2.3818181818181801</v>
      </c>
      <c r="BB2" s="49">
        <v>2.3818181818181801</v>
      </c>
      <c r="BC2" s="49">
        <v>2.4181818181818202</v>
      </c>
      <c r="BD2" s="49">
        <v>1.87878787878788</v>
      </c>
      <c r="BE2" s="49">
        <v>1.77272727272727</v>
      </c>
      <c r="BF2" s="49">
        <v>1.6969696969696999</v>
      </c>
      <c r="BG2" s="49">
        <v>1.77272727272727</v>
      </c>
      <c r="BH2" s="49">
        <v>28.866476215497901</v>
      </c>
      <c r="BI2" s="49">
        <v>9.9107992264789804</v>
      </c>
      <c r="BJ2" s="49">
        <v>4.6505417687788499</v>
      </c>
      <c r="BK2" s="49">
        <v>2.5269838529493298</v>
      </c>
      <c r="BL2" s="49">
        <v>119.920466758476</v>
      </c>
      <c r="BM2" s="49">
        <v>78.603855622898607</v>
      </c>
      <c r="BN2" s="49">
        <v>15.422158028015099</v>
      </c>
      <c r="BO2" s="49">
        <v>7.0185091829505</v>
      </c>
      <c r="BP2" s="49">
        <v>4.6573168033308701</v>
      </c>
      <c r="BQ2" s="49">
        <v>324.01597347871399</v>
      </c>
      <c r="BR2" s="49">
        <v>0.240713507842127</v>
      </c>
      <c r="BS2" s="49">
        <v>8.2644768606844193E-2</v>
      </c>
      <c r="BT2" s="49">
        <v>3.8780217376448399E-2</v>
      </c>
      <c r="BU2" s="49">
        <v>2.1072164921095302E-2</v>
      </c>
      <c r="BV2" s="49">
        <v>0.24259253264272301</v>
      </c>
      <c r="BW2" s="49">
        <v>4.75969066044463E-2</v>
      </c>
      <c r="BX2" s="49">
        <v>2.1660997473667998E-2</v>
      </c>
      <c r="BY2" s="49">
        <v>1.4373725941128099E-2</v>
      </c>
    </row>
    <row r="3" spans="1:77">
      <c r="A3" s="80">
        <v>2</v>
      </c>
      <c r="B3" s="49" t="s">
        <v>639</v>
      </c>
      <c r="C3" s="9">
        <v>3</v>
      </c>
      <c r="D3" s="49" t="s">
        <v>642</v>
      </c>
      <c r="E3" s="30" t="s">
        <v>643</v>
      </c>
      <c r="F3" s="30">
        <v>66940573</v>
      </c>
      <c r="G3" s="75">
        <v>25.714285714285715</v>
      </c>
      <c r="H3" s="80">
        <v>37.714285714285722</v>
      </c>
      <c r="I3" s="77">
        <v>87.271750805585384</v>
      </c>
      <c r="J3" s="30">
        <v>14896</v>
      </c>
      <c r="K3" s="77">
        <v>87.271750805585384</v>
      </c>
      <c r="L3" s="49">
        <v>0.27632472650819001</v>
      </c>
      <c r="M3" s="49">
        <v>0.250381023760198</v>
      </c>
      <c r="N3" s="49">
        <v>0.243454951844673</v>
      </c>
      <c r="O3" s="49">
        <v>0.272678785585735</v>
      </c>
      <c r="P3" s="49">
        <v>0.406195809545568</v>
      </c>
      <c r="Q3" s="49">
        <v>0.41026008797958002</v>
      </c>
      <c r="R3" s="49">
        <v>0.38660232588191501</v>
      </c>
      <c r="S3" s="49">
        <v>0.38780873476678501</v>
      </c>
      <c r="T3" s="49">
        <v>0.45615527084305901</v>
      </c>
      <c r="U3" s="49">
        <v>0.42080574197806397</v>
      </c>
      <c r="V3" s="49">
        <v>0.41961966987472898</v>
      </c>
      <c r="W3" s="49">
        <v>0.38230496200137998</v>
      </c>
      <c r="X3" s="49">
        <v>0.54020580721239098</v>
      </c>
      <c r="Y3" s="49">
        <v>0.59477168501724598</v>
      </c>
      <c r="Z3" s="49">
        <v>0.56099636417435905</v>
      </c>
      <c r="AA3" s="49">
        <v>0.49622429131937701</v>
      </c>
      <c r="AB3" s="49">
        <v>0.60259259259259301</v>
      </c>
      <c r="AC3" s="49">
        <v>0.60925925925926006</v>
      </c>
      <c r="AD3" s="49">
        <v>0.62037037037037102</v>
      </c>
      <c r="AE3" s="49">
        <v>0.57272727272727297</v>
      </c>
      <c r="AF3" s="49">
        <v>0.764880952380952</v>
      </c>
      <c r="AG3" s="49">
        <v>0.65384615384615397</v>
      </c>
      <c r="AH3" s="49">
        <v>0.65170940170940095</v>
      </c>
      <c r="AI3" s="49">
        <v>0.67948717948717896</v>
      </c>
      <c r="AJ3" s="49">
        <v>0.55987823378006396</v>
      </c>
      <c r="AK3" s="49">
        <v>0.56292749119319996</v>
      </c>
      <c r="AL3" s="49">
        <v>0.58214324898565495</v>
      </c>
      <c r="AM3" s="49">
        <v>0.529020786763573</v>
      </c>
      <c r="AN3" s="49">
        <v>0.71962590002616</v>
      </c>
      <c r="AO3" s="49">
        <v>0.93918652612971099</v>
      </c>
      <c r="AP3" s="49">
        <v>0.94081122894705205</v>
      </c>
      <c r="AQ3" s="49">
        <v>0.83435872912147002</v>
      </c>
      <c r="AR3" s="49">
        <v>0.44871794871794901</v>
      </c>
      <c r="AS3" s="49">
        <v>0.47948717948718</v>
      </c>
      <c r="AT3" s="49">
        <v>0.497435897435897</v>
      </c>
      <c r="AU3" s="49">
        <v>0.502564102564103</v>
      </c>
      <c r="AV3" s="49">
        <v>0.61868131868131904</v>
      </c>
      <c r="AW3" s="49">
        <v>0.72802197802197799</v>
      </c>
      <c r="AX3" s="49">
        <v>0.73589743589743595</v>
      </c>
      <c r="AY3" s="49">
        <v>0.57179487179487198</v>
      </c>
      <c r="AZ3" s="49">
        <v>2.1777777777777798</v>
      </c>
      <c r="BA3" s="49">
        <v>2.0888888888888899</v>
      </c>
      <c r="BB3" s="49">
        <v>2.0222222222222199</v>
      </c>
      <c r="BC3" s="49">
        <v>2.2000000000000002</v>
      </c>
      <c r="BD3" s="49">
        <v>1.5178571428571399</v>
      </c>
      <c r="BE3" s="49">
        <v>1.8974358974359</v>
      </c>
      <c r="BF3" s="49">
        <v>1.9102564102564099</v>
      </c>
      <c r="BG3" s="49">
        <v>1.7179487179487201</v>
      </c>
      <c r="BH3" s="49">
        <v>56.934876396069598</v>
      </c>
      <c r="BI3" s="49">
        <v>11.440455647886701</v>
      </c>
      <c r="BJ3" s="49">
        <v>4.6275742314130799</v>
      </c>
      <c r="BK3" s="49">
        <v>2.5785062685244098</v>
      </c>
      <c r="BL3" s="49">
        <v>255.95417564573</v>
      </c>
      <c r="BM3" s="49">
        <v>35.1900817611496</v>
      </c>
      <c r="BN3" s="49">
        <v>7.1833419812138999</v>
      </c>
      <c r="BO3" s="49">
        <v>2.6771224313212798</v>
      </c>
      <c r="BP3" s="49">
        <v>1.6513418365258401</v>
      </c>
      <c r="BQ3" s="49">
        <v>174.27717164027399</v>
      </c>
      <c r="BR3" s="49">
        <v>0.22244167829039099</v>
      </c>
      <c r="BS3" s="49">
        <v>4.4697280749666703E-2</v>
      </c>
      <c r="BT3" s="49">
        <v>1.8079698132442999E-2</v>
      </c>
      <c r="BU3" s="49">
        <v>1.00740933880812E-2</v>
      </c>
      <c r="BV3" s="49">
        <v>0.20192020234173599</v>
      </c>
      <c r="BW3" s="49">
        <v>4.1217916917088003E-2</v>
      </c>
      <c r="BX3" s="49">
        <v>1.53612914768156E-2</v>
      </c>
      <c r="BY3" s="49">
        <v>9.4753766140661302E-3</v>
      </c>
    </row>
    <row r="4" spans="1:77">
      <c r="A4" s="80">
        <v>3</v>
      </c>
      <c r="B4" s="49" t="s">
        <v>639</v>
      </c>
      <c r="C4" s="9">
        <v>3</v>
      </c>
      <c r="D4" s="49" t="s">
        <v>648</v>
      </c>
      <c r="E4" s="30" t="s">
        <v>649</v>
      </c>
      <c r="F4" s="30">
        <v>66986925</v>
      </c>
      <c r="G4" s="75">
        <v>26.857142857142858</v>
      </c>
      <c r="H4" s="80">
        <v>35.428571428571431</v>
      </c>
      <c r="I4" s="77">
        <v>99.929052855622558</v>
      </c>
      <c r="J4" s="30">
        <v>11276</v>
      </c>
      <c r="K4" s="77">
        <v>99.929052855622558</v>
      </c>
      <c r="L4" s="49">
        <v>0.254938072049195</v>
      </c>
      <c r="M4" s="49">
        <v>0.27123099517794103</v>
      </c>
      <c r="N4" s="49">
        <v>0.28072458131239802</v>
      </c>
      <c r="O4" s="49">
        <v>0.278372210636818</v>
      </c>
      <c r="P4" s="49">
        <v>0.456043870991163</v>
      </c>
      <c r="Q4" s="49">
        <v>0.42234843612239298</v>
      </c>
      <c r="R4" s="49">
        <v>0.43658019501602102</v>
      </c>
      <c r="S4" s="49">
        <v>0.45280019320196502</v>
      </c>
      <c r="T4" s="49">
        <v>0.43287736690498602</v>
      </c>
      <c r="U4" s="49">
        <v>0.24104356201435501</v>
      </c>
      <c r="V4" s="49">
        <v>0.246246450858812</v>
      </c>
      <c r="W4" s="49">
        <v>0.32510728524089599</v>
      </c>
      <c r="X4" s="49">
        <v>0.49503291141743899</v>
      </c>
      <c r="Y4" s="49">
        <v>0.55728378875360796</v>
      </c>
      <c r="Z4" s="49">
        <v>0.56467467722819298</v>
      </c>
      <c r="AA4" s="49">
        <v>0.58832024883423395</v>
      </c>
      <c r="AB4" s="49">
        <v>0.69675925925925897</v>
      </c>
      <c r="AC4" s="49">
        <v>0.61594202898550698</v>
      </c>
      <c r="AD4" s="49">
        <v>0.61594202898550698</v>
      </c>
      <c r="AE4" s="49">
        <v>0.61594202898550698</v>
      </c>
      <c r="AF4" s="49">
        <v>0.63653846153846105</v>
      </c>
      <c r="AG4" s="49">
        <v>0.63653846153846105</v>
      </c>
      <c r="AH4" s="49">
        <v>0.64145299145299095</v>
      </c>
      <c r="AI4" s="49">
        <v>0.64358974358974297</v>
      </c>
      <c r="AJ4" s="49">
        <v>0.54208713378273699</v>
      </c>
      <c r="AK4" s="49">
        <v>0.31156409749903202</v>
      </c>
      <c r="AL4" s="49">
        <v>0.31156409749903202</v>
      </c>
      <c r="AM4" s="49">
        <v>0.42124017767351601</v>
      </c>
      <c r="AN4" s="49">
        <v>0.67711832512263603</v>
      </c>
      <c r="AO4" s="49">
        <v>0.83612982830486404</v>
      </c>
      <c r="AP4" s="49">
        <v>0.82334637682994904</v>
      </c>
      <c r="AQ4" s="49">
        <v>0.82719090419094399</v>
      </c>
      <c r="AR4" s="49">
        <v>0.43333333333333302</v>
      </c>
      <c r="AS4" s="49">
        <v>0.251282051282051</v>
      </c>
      <c r="AT4" s="49">
        <v>0.251282051282051</v>
      </c>
      <c r="AU4" s="49">
        <v>0.32051282051282098</v>
      </c>
      <c r="AV4" s="49">
        <v>0.56483516483516505</v>
      </c>
      <c r="AW4" s="49">
        <v>0.65457875457875503</v>
      </c>
      <c r="AX4" s="49">
        <v>0.64835164835164805</v>
      </c>
      <c r="AY4" s="49">
        <v>0.66208791208791196</v>
      </c>
      <c r="AZ4" s="49">
        <v>1.7222222222222201</v>
      </c>
      <c r="BA4" s="49">
        <v>2.0434782608695699</v>
      </c>
      <c r="BB4" s="49">
        <v>2.0434782608695699</v>
      </c>
      <c r="BC4" s="49">
        <v>2.0652173913043499</v>
      </c>
      <c r="BD4" s="49">
        <v>2.0769230769230802</v>
      </c>
      <c r="BE4" s="49">
        <v>2.0512820512820502</v>
      </c>
      <c r="BF4" s="49">
        <v>2</v>
      </c>
      <c r="BG4" s="49">
        <v>1.9871794871794899</v>
      </c>
      <c r="BH4" s="49">
        <v>65.281158349731697</v>
      </c>
      <c r="BI4" s="49">
        <v>18.627030923195399</v>
      </c>
      <c r="BJ4" s="49">
        <v>8.5182912129125405</v>
      </c>
      <c r="BK4" s="49">
        <v>5.3258870251413502</v>
      </c>
      <c r="BL4" s="49">
        <v>302.45117530258301</v>
      </c>
      <c r="BM4" s="49">
        <v>41.286363086106803</v>
      </c>
      <c r="BN4" s="49">
        <v>21.338675569247901</v>
      </c>
      <c r="BO4" s="49">
        <v>9.0933619241843608</v>
      </c>
      <c r="BP4" s="49">
        <v>5.1163811009975699</v>
      </c>
      <c r="BQ4" s="49">
        <v>200.52191611232101</v>
      </c>
      <c r="BR4" s="49">
        <v>0.21584031962984501</v>
      </c>
      <c r="BS4" s="49">
        <v>6.15869020993563E-2</v>
      </c>
      <c r="BT4" s="49">
        <v>2.81641861844E-2</v>
      </c>
      <c r="BU4" s="49">
        <v>1.7609080274901E-2</v>
      </c>
      <c r="BV4" s="49">
        <v>0.20589451710096601</v>
      </c>
      <c r="BW4" s="49">
        <v>0.106415677562622</v>
      </c>
      <c r="BX4" s="49">
        <v>4.5348469137362298E-2</v>
      </c>
      <c r="BY4" s="49">
        <v>2.5515321218712299E-2</v>
      </c>
    </row>
    <row r="5" spans="1:77">
      <c r="A5" s="80">
        <v>4</v>
      </c>
      <c r="B5" s="49" t="s">
        <v>639</v>
      </c>
      <c r="C5" s="9">
        <v>3</v>
      </c>
      <c r="D5" s="49" t="s">
        <v>652</v>
      </c>
      <c r="E5" s="30" t="s">
        <v>204</v>
      </c>
      <c r="F5" s="30">
        <v>64886425</v>
      </c>
      <c r="G5" s="75">
        <v>28.428571428571427</v>
      </c>
      <c r="H5" s="49">
        <v>35.428571428571431</v>
      </c>
      <c r="I5" s="77">
        <v>86.278780336029868</v>
      </c>
      <c r="J5" s="30">
        <v>12856</v>
      </c>
      <c r="K5" s="77">
        <v>86.278780336029868</v>
      </c>
      <c r="L5" s="49">
        <v>0.24929998570758399</v>
      </c>
      <c r="M5" s="49">
        <v>0.18509078552883301</v>
      </c>
      <c r="N5" s="49">
        <v>0.29403693873501702</v>
      </c>
      <c r="O5" s="49">
        <v>0.229482944423819</v>
      </c>
      <c r="P5" s="49">
        <v>0.416323220831116</v>
      </c>
      <c r="Q5" s="49">
        <v>0.38168586418268302</v>
      </c>
      <c r="R5" s="49">
        <v>0.38544209429380299</v>
      </c>
      <c r="S5" s="49">
        <v>0.38540527564064098</v>
      </c>
      <c r="T5" s="49">
        <v>0.38542359517984598</v>
      </c>
      <c r="U5" s="49">
        <v>0.31462136076209002</v>
      </c>
      <c r="V5" s="49">
        <v>0.29027934428652502</v>
      </c>
      <c r="W5" s="49">
        <v>0.26216697574507603</v>
      </c>
      <c r="X5" s="49">
        <v>0.63206122905730699</v>
      </c>
      <c r="Y5" s="49">
        <v>0.52833390331281105</v>
      </c>
      <c r="Z5" s="49">
        <v>0.49017380589111698</v>
      </c>
      <c r="AA5" s="49">
        <v>0.449912814104444</v>
      </c>
      <c r="AB5" s="49">
        <v>0.72549019607843201</v>
      </c>
      <c r="AC5" s="49">
        <v>0.80666666666666698</v>
      </c>
      <c r="AD5" s="49">
        <v>0.50252525252525304</v>
      </c>
      <c r="AE5" s="49">
        <v>0.68859649122806998</v>
      </c>
      <c r="AF5" s="49">
        <v>0.62606837606837595</v>
      </c>
      <c r="AG5" s="49">
        <v>0.65170940170940195</v>
      </c>
      <c r="AH5" s="49">
        <v>0.66880341880341898</v>
      </c>
      <c r="AI5" s="49">
        <v>0.670940170940171</v>
      </c>
      <c r="AJ5" s="49">
        <v>0.48960335134947802</v>
      </c>
      <c r="AK5" s="49">
        <v>0.44672721725014097</v>
      </c>
      <c r="AL5" s="49">
        <v>0.40628936006630401</v>
      </c>
      <c r="AM5" s="49">
        <v>0.37047268665625099</v>
      </c>
      <c r="AN5" s="49">
        <v>0.91400301517692495</v>
      </c>
      <c r="AO5" s="49">
        <v>0.85554379637620503</v>
      </c>
      <c r="AP5" s="49">
        <v>0.82770703074168295</v>
      </c>
      <c r="AQ5" s="49">
        <v>0.75297056374965499</v>
      </c>
      <c r="AR5" s="49">
        <v>0.41025641025641002</v>
      </c>
      <c r="AS5" s="49">
        <v>0.38974358974359002</v>
      </c>
      <c r="AT5" s="49">
        <v>0.29487179487179499</v>
      </c>
      <c r="AU5" s="49">
        <v>0.269230769230769</v>
      </c>
      <c r="AV5" s="49">
        <v>0.78608058608058595</v>
      </c>
      <c r="AW5" s="49">
        <v>0.764835164835165</v>
      </c>
      <c r="AX5" s="49">
        <v>0.65805860805860805</v>
      </c>
      <c r="AY5" s="49">
        <v>0.62985347985347995</v>
      </c>
      <c r="AZ5" s="49">
        <v>1.5882352941176501</v>
      </c>
      <c r="BA5" s="49">
        <v>1.44</v>
      </c>
      <c r="BB5" s="49">
        <v>2.74242424242424</v>
      </c>
      <c r="BC5" s="49">
        <v>1.7105263157894699</v>
      </c>
      <c r="BD5" s="49">
        <v>2.0769230769230802</v>
      </c>
      <c r="BE5" s="49">
        <v>1.8846153846153799</v>
      </c>
      <c r="BF5" s="49">
        <v>1.7820512820512799</v>
      </c>
      <c r="BG5" s="49">
        <v>1.7692307692307701</v>
      </c>
      <c r="BH5" s="49">
        <v>64.335751849079998</v>
      </c>
      <c r="BI5" s="49">
        <v>16.364051694836199</v>
      </c>
      <c r="BJ5" s="49">
        <v>7.62408471094421</v>
      </c>
      <c r="BK5" s="49">
        <v>5.0201146174210596</v>
      </c>
      <c r="BL5" s="49">
        <v>315.59766596345003</v>
      </c>
      <c r="BM5" s="49">
        <v>44.083106996822401</v>
      </c>
      <c r="BN5" s="49">
        <v>10.1526730499188</v>
      </c>
      <c r="BO5" s="49">
        <v>3.7691298452153998</v>
      </c>
      <c r="BP5" s="49">
        <v>2.1790056844497698</v>
      </c>
      <c r="BQ5" s="49">
        <v>199.25759792409099</v>
      </c>
      <c r="BR5" s="49">
        <v>0.203853699781578</v>
      </c>
      <c r="BS5" s="49">
        <v>5.1850990864841601E-2</v>
      </c>
      <c r="BT5" s="49">
        <v>2.4157608034487701E-2</v>
      </c>
      <c r="BU5" s="49">
        <v>1.5906691204752001E-2</v>
      </c>
      <c r="BV5" s="49">
        <v>0.221236768163873</v>
      </c>
      <c r="BW5" s="49">
        <v>5.09525014638917E-2</v>
      </c>
      <c r="BX5" s="49">
        <v>1.8915865113717199E-2</v>
      </c>
      <c r="BY5" s="49">
        <v>1.0935621562997501E-2</v>
      </c>
    </row>
    <row r="6" spans="1:77">
      <c r="A6" s="80">
        <v>5</v>
      </c>
      <c r="B6" s="49" t="s">
        <v>639</v>
      </c>
      <c r="C6" s="9">
        <v>3</v>
      </c>
      <c r="D6" s="49" t="s">
        <v>653</v>
      </c>
      <c r="E6" s="30" t="s">
        <v>203</v>
      </c>
      <c r="F6" s="30">
        <v>64840009</v>
      </c>
      <c r="G6" s="75">
        <v>28</v>
      </c>
      <c r="H6" s="49">
        <v>36.142857142857153</v>
      </c>
      <c r="I6" s="77">
        <v>98.659517426273453</v>
      </c>
      <c r="J6" s="30">
        <v>13428</v>
      </c>
      <c r="K6" s="77">
        <v>98.659517426273453</v>
      </c>
      <c r="L6" s="49">
        <v>0.21757534944739501</v>
      </c>
      <c r="M6" s="49">
        <v>0.21424779553394299</v>
      </c>
      <c r="N6" s="49">
        <v>0.208919792144383</v>
      </c>
      <c r="O6" s="49">
        <v>0.20595963039363499</v>
      </c>
      <c r="P6" s="49">
        <v>0.42590990796614703</v>
      </c>
      <c r="Q6" s="49">
        <v>0.39920164192177898</v>
      </c>
      <c r="R6" s="49">
        <v>0.38595412051984501</v>
      </c>
      <c r="S6" s="49">
        <v>0.37939005733687098</v>
      </c>
      <c r="T6" s="49">
        <v>0.47872128874259801</v>
      </c>
      <c r="U6" s="49">
        <v>0.56403058740210599</v>
      </c>
      <c r="V6" s="49">
        <v>0.54849444865490404</v>
      </c>
      <c r="W6" s="49">
        <v>0.45063504455915399</v>
      </c>
      <c r="X6" s="49">
        <v>0.64437156549387797</v>
      </c>
      <c r="Y6" s="49">
        <v>0.60782382666305701</v>
      </c>
      <c r="Z6" s="49">
        <v>0.58703036491542904</v>
      </c>
      <c r="AA6" s="49">
        <v>0.57542336672205496</v>
      </c>
      <c r="AB6" s="49">
        <v>0.79629629629629595</v>
      </c>
      <c r="AC6" s="49">
        <v>0.79012345679012397</v>
      </c>
      <c r="AD6" s="49">
        <v>0.79012345679012397</v>
      </c>
      <c r="AE6" s="49">
        <v>0.79629629629629595</v>
      </c>
      <c r="AF6" s="49">
        <v>0.76666666666666705</v>
      </c>
      <c r="AG6" s="49">
        <v>0.76666666666666705</v>
      </c>
      <c r="AH6" s="49">
        <v>0.76969696969696999</v>
      </c>
      <c r="AI6" s="49">
        <v>0.76969696969696999</v>
      </c>
      <c r="AJ6" s="49">
        <v>0.60480515517867195</v>
      </c>
      <c r="AK6" s="49">
        <v>0.70994023414202101</v>
      </c>
      <c r="AL6" s="49">
        <v>0.70994023414202101</v>
      </c>
      <c r="AM6" s="49">
        <v>0.60480515517867195</v>
      </c>
      <c r="AN6" s="49">
        <v>0.80898211370096995</v>
      </c>
      <c r="AO6" s="49">
        <v>0.81083027727105805</v>
      </c>
      <c r="AP6" s="49">
        <v>0.81204891576096405</v>
      </c>
      <c r="AQ6" s="49">
        <v>0.81204891576096405</v>
      </c>
      <c r="AR6" s="49">
        <v>0.56410256410256399</v>
      </c>
      <c r="AS6" s="49">
        <v>0.60769230769230798</v>
      </c>
      <c r="AT6" s="49">
        <v>0.60769230769230798</v>
      </c>
      <c r="AU6" s="49">
        <v>0.56410256410256399</v>
      </c>
      <c r="AV6" s="49">
        <v>0.67380952380952397</v>
      </c>
      <c r="AW6" s="49">
        <v>0.67893772893772897</v>
      </c>
      <c r="AX6" s="49">
        <v>0.68540903540903497</v>
      </c>
      <c r="AY6" s="49">
        <v>0.68540903540903497</v>
      </c>
      <c r="AZ6" s="49">
        <v>1.4074074074074101</v>
      </c>
      <c r="BA6" s="49">
        <v>1.44444444444444</v>
      </c>
      <c r="BB6" s="49">
        <v>1.44444444444444</v>
      </c>
      <c r="BC6" s="49">
        <v>1.4074074074074101</v>
      </c>
      <c r="BD6" s="49">
        <v>1.52727272727273</v>
      </c>
      <c r="BE6" s="49">
        <v>1.52727272727273</v>
      </c>
      <c r="BF6" s="49">
        <v>1.5090909090909099</v>
      </c>
      <c r="BG6" s="49">
        <v>1.5090909090909099</v>
      </c>
      <c r="BH6" s="49">
        <v>24.801461990001201</v>
      </c>
      <c r="BI6" s="49">
        <v>6.8654219714703597</v>
      </c>
      <c r="BJ6" s="49">
        <v>3.0358352112660598</v>
      </c>
      <c r="BK6" s="49">
        <v>1.62211004734737</v>
      </c>
      <c r="BL6" s="49">
        <v>124.73614691083</v>
      </c>
      <c r="BM6" s="49">
        <v>50.5318506359718</v>
      </c>
      <c r="BN6" s="49">
        <v>8.0447176630159394</v>
      </c>
      <c r="BO6" s="49">
        <v>2.4676010770608001</v>
      </c>
      <c r="BP6" s="49">
        <v>1.45393513510838</v>
      </c>
      <c r="BQ6" s="49">
        <v>244.080924577052</v>
      </c>
      <c r="BR6" s="49">
        <v>0.19883139414055301</v>
      </c>
      <c r="BS6" s="49">
        <v>5.5039554623875102E-2</v>
      </c>
      <c r="BT6" s="49">
        <v>2.4338055058220402E-2</v>
      </c>
      <c r="BU6" s="49">
        <v>1.30043302404311E-2</v>
      </c>
      <c r="BV6" s="49">
        <v>0.207029085634342</v>
      </c>
      <c r="BW6" s="49">
        <v>3.2959223163202801E-2</v>
      </c>
      <c r="BX6" s="49">
        <v>1.01097661824115E-2</v>
      </c>
      <c r="BY6" s="49">
        <v>5.9567749410478696E-3</v>
      </c>
    </row>
    <row r="7" spans="1:77">
      <c r="A7" s="80">
        <v>6</v>
      </c>
      <c r="B7" s="49" t="s">
        <v>639</v>
      </c>
      <c r="C7" s="9">
        <v>3</v>
      </c>
      <c r="D7" s="49" t="s">
        <v>656</v>
      </c>
      <c r="E7" s="30" t="s">
        <v>657</v>
      </c>
      <c r="F7" s="30">
        <v>67050467</v>
      </c>
      <c r="G7" s="75">
        <v>31.142857142857142</v>
      </c>
      <c r="H7" s="49">
        <v>36.142857142857153</v>
      </c>
      <c r="I7" s="77">
        <v>64.373716632443532</v>
      </c>
      <c r="J7" s="30">
        <v>7792</v>
      </c>
      <c r="K7" s="77">
        <v>64.373716632443532</v>
      </c>
      <c r="L7" s="49">
        <v>0.22650808001030001</v>
      </c>
      <c r="M7" s="49">
        <v>0.35903584955673101</v>
      </c>
      <c r="N7" s="49">
        <v>0.345397002830096</v>
      </c>
      <c r="O7" s="49">
        <v>0.33504088783622898</v>
      </c>
      <c r="P7" s="49">
        <v>0.50220403846196005</v>
      </c>
      <c r="Q7" s="49">
        <v>0.448867464244674</v>
      </c>
      <c r="R7" s="49">
        <v>0.42957714559912802</v>
      </c>
      <c r="S7" s="49">
        <v>0.414977408867718</v>
      </c>
      <c r="T7" s="49">
        <v>0.46599459445799202</v>
      </c>
      <c r="U7" s="49">
        <v>0.30606285138640899</v>
      </c>
      <c r="V7" s="49">
        <v>0.29586039513018197</v>
      </c>
      <c r="W7" s="49">
        <v>0.28357162079027198</v>
      </c>
      <c r="X7" s="49">
        <v>0.71455175276508498</v>
      </c>
      <c r="Y7" s="49">
        <v>0.65446675878611804</v>
      </c>
      <c r="Z7" s="49">
        <v>0.57793441443373805</v>
      </c>
      <c r="AA7" s="49">
        <v>0.59492107933208205</v>
      </c>
      <c r="AB7" s="49">
        <v>0.73888888888888904</v>
      </c>
      <c r="AC7" s="49">
        <v>0.46840659340659302</v>
      </c>
      <c r="AD7" s="49">
        <v>0.46840659340659302</v>
      </c>
      <c r="AE7" s="49">
        <v>0.46840659340659302</v>
      </c>
      <c r="AF7" s="49">
        <v>0.65598290598290498</v>
      </c>
      <c r="AG7" s="49">
        <v>0.65705128205128205</v>
      </c>
      <c r="AH7" s="49">
        <v>0.66239316239316204</v>
      </c>
      <c r="AI7" s="49">
        <v>0.66025641025641002</v>
      </c>
      <c r="AJ7" s="49">
        <v>0.58405004720370102</v>
      </c>
      <c r="AK7" s="49">
        <v>0.39310081928552698</v>
      </c>
      <c r="AL7" s="49">
        <v>0.39310081928552698</v>
      </c>
      <c r="AM7" s="49">
        <v>0.39310081928552698</v>
      </c>
      <c r="AN7" s="49">
        <v>0.92678144233644399</v>
      </c>
      <c r="AO7" s="49">
        <v>0.93939667713073405</v>
      </c>
      <c r="AP7" s="49">
        <v>0.87093645759390603</v>
      </c>
      <c r="AQ7" s="49">
        <v>0.93696886241205601</v>
      </c>
      <c r="AR7" s="49">
        <v>0.512820512820513</v>
      </c>
      <c r="AS7" s="49">
        <v>0.33333333333333298</v>
      </c>
      <c r="AT7" s="49">
        <v>0.33333333333333298</v>
      </c>
      <c r="AU7" s="49">
        <v>0.33333333333333298</v>
      </c>
      <c r="AV7" s="49">
        <v>0.80897435897435899</v>
      </c>
      <c r="AW7" s="49">
        <v>0.73479853479853496</v>
      </c>
      <c r="AX7" s="49">
        <v>0.74578754578754602</v>
      </c>
      <c r="AY7" s="49">
        <v>0.72344322344322298</v>
      </c>
      <c r="AZ7" s="49">
        <v>1.63333333333333</v>
      </c>
      <c r="BA7" s="49">
        <v>2.97435897435897</v>
      </c>
      <c r="BB7" s="49">
        <v>2.97435897435897</v>
      </c>
      <c r="BC7" s="49">
        <v>2.97435897435897</v>
      </c>
      <c r="BD7" s="49">
        <v>1.8589743589743599</v>
      </c>
      <c r="BE7" s="49">
        <v>1.8589743589743599</v>
      </c>
      <c r="BF7" s="49">
        <v>1.82051282051282</v>
      </c>
      <c r="BG7" s="49">
        <v>1.8333333333333299</v>
      </c>
      <c r="BH7" s="49">
        <v>31.170131764131099</v>
      </c>
      <c r="BI7" s="49">
        <v>6.3434930615518796</v>
      </c>
      <c r="BJ7" s="49">
        <v>3.6897259428432001</v>
      </c>
      <c r="BK7" s="49">
        <v>2.3108404418291202</v>
      </c>
      <c r="BL7" s="49">
        <v>187.560620558675</v>
      </c>
      <c r="BM7" s="49">
        <v>44.147772872260298</v>
      </c>
      <c r="BN7" s="49">
        <v>10.5064275882881</v>
      </c>
      <c r="BO7" s="49">
        <v>4.7065896501385502</v>
      </c>
      <c r="BP7" s="49">
        <v>2.4772300009063599</v>
      </c>
      <c r="BQ7" s="49">
        <v>210.149826956651</v>
      </c>
      <c r="BR7" s="49">
        <v>0.16618697289061299</v>
      </c>
      <c r="BS7" s="49">
        <v>3.38210283302375E-2</v>
      </c>
      <c r="BT7" s="49">
        <v>1.96721781568692E-2</v>
      </c>
      <c r="BU7" s="49">
        <v>1.2320499020241901E-2</v>
      </c>
      <c r="BV7" s="49">
        <v>0.21007760754124599</v>
      </c>
      <c r="BW7" s="49">
        <v>4.9994938089838598E-2</v>
      </c>
      <c r="BX7" s="49">
        <v>2.2396352727472899E-2</v>
      </c>
      <c r="BY7" s="49">
        <v>1.1787923106010199E-2</v>
      </c>
    </row>
    <row r="8" spans="1:77">
      <c r="A8" s="80">
        <v>7</v>
      </c>
      <c r="B8" s="49" t="s">
        <v>639</v>
      </c>
      <c r="C8" s="9">
        <v>3</v>
      </c>
      <c r="D8" s="49" t="s">
        <v>658</v>
      </c>
      <c r="E8" s="30" t="s">
        <v>659</v>
      </c>
      <c r="F8" s="30">
        <v>67049139</v>
      </c>
      <c r="G8" s="75">
        <v>29.714285714285715</v>
      </c>
      <c r="H8" s="80">
        <v>35.428571428571431</v>
      </c>
      <c r="I8" s="77">
        <v>61.344178082191782</v>
      </c>
      <c r="J8" s="30">
        <v>9344</v>
      </c>
      <c r="K8" s="77">
        <v>61.344178082191782</v>
      </c>
      <c r="L8" s="49">
        <v>0.23683207127318101</v>
      </c>
      <c r="M8" s="49">
        <v>0.27121919654756899</v>
      </c>
      <c r="N8" s="49">
        <v>0.25151379415455999</v>
      </c>
      <c r="O8" s="49">
        <v>0.27116439680733101</v>
      </c>
      <c r="P8" s="49">
        <v>0.44328135522940698</v>
      </c>
      <c r="Q8" s="49">
        <v>0.38051026638389002</v>
      </c>
      <c r="R8" s="49">
        <v>0.36206759492998197</v>
      </c>
      <c r="S8" s="49">
        <v>0.39851647730196799</v>
      </c>
      <c r="T8" s="49">
        <v>0.46171312374137502</v>
      </c>
      <c r="U8" s="49">
        <v>0.313094537824402</v>
      </c>
      <c r="V8" s="49">
        <v>0.269871667313476</v>
      </c>
      <c r="W8" s="49">
        <v>0.294202090692815</v>
      </c>
      <c r="X8" s="49">
        <v>0.49430263332657798</v>
      </c>
      <c r="Y8" s="49">
        <v>0.50714276699223004</v>
      </c>
      <c r="Z8" s="49">
        <v>0.55319768867960994</v>
      </c>
      <c r="AA8" s="49">
        <v>0.52880719255678599</v>
      </c>
      <c r="AB8" s="49">
        <v>0.69907407407407396</v>
      </c>
      <c r="AC8" s="49">
        <v>0.57030303030303098</v>
      </c>
      <c r="AD8" s="49">
        <v>0.63518518518518496</v>
      </c>
      <c r="AE8" s="49">
        <v>0.56878787878787895</v>
      </c>
      <c r="AF8" s="49">
        <v>0.64743589743589702</v>
      </c>
      <c r="AG8" s="49">
        <v>0.76969696969696999</v>
      </c>
      <c r="AH8" s="49">
        <v>0.844444444444444</v>
      </c>
      <c r="AI8" s="49">
        <v>0.77575757575757598</v>
      </c>
      <c r="AJ8" s="49">
        <v>0.62243082317785603</v>
      </c>
      <c r="AK8" s="49">
        <v>0.45191365328512001</v>
      </c>
      <c r="AL8" s="49">
        <v>0.38248233265477599</v>
      </c>
      <c r="AM8" s="49">
        <v>0.42234136193064098</v>
      </c>
      <c r="AN8" s="49">
        <v>0.70690691226442104</v>
      </c>
      <c r="AO8" s="49">
        <v>0.71268783159124005</v>
      </c>
      <c r="AP8" s="49">
        <v>0.73931623931623902</v>
      </c>
      <c r="AQ8" s="49">
        <v>0.71605519953082497</v>
      </c>
      <c r="AR8" s="49">
        <v>0.54102564102564099</v>
      </c>
      <c r="AS8" s="49">
        <v>0.37179487179487197</v>
      </c>
      <c r="AT8" s="49">
        <v>0.28717948717948699</v>
      </c>
      <c r="AU8" s="49">
        <v>0.33333333333333298</v>
      </c>
      <c r="AV8" s="49">
        <v>0.66794871794871802</v>
      </c>
      <c r="AW8" s="49">
        <v>0.69597069597069605</v>
      </c>
      <c r="AX8" s="49">
        <v>0.73931623931623902</v>
      </c>
      <c r="AY8" s="49">
        <v>0.70054945054945095</v>
      </c>
      <c r="AZ8" s="49">
        <v>1.69444444444444</v>
      </c>
      <c r="BA8" s="49">
        <v>2.2363636363636399</v>
      </c>
      <c r="BB8" s="49">
        <v>1.9111111111111101</v>
      </c>
      <c r="BC8" s="49">
        <v>2.2363636363636399</v>
      </c>
      <c r="BD8" s="49">
        <v>1.9358974358974399</v>
      </c>
      <c r="BE8" s="49">
        <v>1.5090909090909099</v>
      </c>
      <c r="BF8" s="49">
        <v>1.31111111111111</v>
      </c>
      <c r="BG8" s="49">
        <v>1.47272727272727</v>
      </c>
      <c r="BH8" s="49">
        <v>51.2339932032802</v>
      </c>
      <c r="BI8" s="49">
        <v>11.889663813660199</v>
      </c>
      <c r="BJ8" s="49">
        <v>4.5986660252919496</v>
      </c>
      <c r="BK8" s="49">
        <v>3.1105125187353702</v>
      </c>
      <c r="BL8" s="49">
        <v>226.511034174586</v>
      </c>
      <c r="BM8" s="49">
        <v>22.700001949678001</v>
      </c>
      <c r="BN8" s="49">
        <v>9.6675703549798602</v>
      </c>
      <c r="BO8" s="49">
        <v>4.2909807910846904</v>
      </c>
      <c r="BP8" s="49">
        <v>2.11690798057908</v>
      </c>
      <c r="BQ8" s="49">
        <v>110.783880203816</v>
      </c>
      <c r="BR8" s="49">
        <v>0.22618762653209701</v>
      </c>
      <c r="BS8" s="49">
        <v>5.2490439845398799E-2</v>
      </c>
      <c r="BT8" s="49">
        <v>2.03021722188928E-2</v>
      </c>
      <c r="BU8" s="49">
        <v>1.3732278120888E-2</v>
      </c>
      <c r="BV8" s="49">
        <v>0.204903474295316</v>
      </c>
      <c r="BW8" s="49">
        <v>8.7265135841006994E-2</v>
      </c>
      <c r="BX8" s="49">
        <v>3.8732898533525802E-2</v>
      </c>
      <c r="BY8" s="49">
        <v>1.91084476973046E-2</v>
      </c>
    </row>
    <row r="9" spans="1:77">
      <c r="A9" s="80">
        <v>8</v>
      </c>
      <c r="B9" s="49" t="s">
        <v>639</v>
      </c>
      <c r="C9" s="9">
        <v>3</v>
      </c>
      <c r="D9" s="49" t="s">
        <v>664</v>
      </c>
      <c r="E9" s="30" t="s">
        <v>665</v>
      </c>
      <c r="F9" s="30">
        <v>67083759</v>
      </c>
      <c r="G9" s="75">
        <v>29.714285714285715</v>
      </c>
      <c r="H9" s="80">
        <v>35.428571428571431</v>
      </c>
      <c r="I9" s="77">
        <v>57.422512234910272</v>
      </c>
      <c r="J9" s="30">
        <v>4904</v>
      </c>
      <c r="K9" s="77">
        <v>57.422512234910272</v>
      </c>
      <c r="L9" s="49">
        <v>0.27223224069410901</v>
      </c>
      <c r="M9" s="49">
        <v>0.33434860589631599</v>
      </c>
      <c r="N9" s="49">
        <v>0.347885495192225</v>
      </c>
      <c r="O9" s="49">
        <v>0.31473003193298599</v>
      </c>
      <c r="P9" s="49">
        <v>0.41219337432227099</v>
      </c>
      <c r="Q9" s="49">
        <v>0.40525374470993603</v>
      </c>
      <c r="R9" s="49">
        <v>0.42426556966808898</v>
      </c>
      <c r="S9" s="49">
        <v>0.40134982051129697</v>
      </c>
      <c r="T9" s="49">
        <v>0.36019350115479098</v>
      </c>
      <c r="U9" s="49">
        <v>0.228327530160815</v>
      </c>
      <c r="V9" s="49">
        <v>0.244709326923434</v>
      </c>
      <c r="W9" s="49">
        <v>0.28080393403051601</v>
      </c>
      <c r="X9" s="49">
        <v>0.53343908687723596</v>
      </c>
      <c r="Y9" s="49">
        <v>0.48786103140145498</v>
      </c>
      <c r="Z9" s="49">
        <v>0.50531495868238696</v>
      </c>
      <c r="AA9" s="49">
        <v>0.46556824300866501</v>
      </c>
      <c r="AB9" s="49">
        <v>0.60074074074074102</v>
      </c>
      <c r="AC9" s="49">
        <v>0.46541514041514098</v>
      </c>
      <c r="AD9" s="49">
        <v>0.46797924297924298</v>
      </c>
      <c r="AE9" s="49">
        <v>0.51060606060606095</v>
      </c>
      <c r="AF9" s="49">
        <v>0.71464646464646497</v>
      </c>
      <c r="AG9" s="49">
        <v>0.64957264957264904</v>
      </c>
      <c r="AH9" s="49">
        <v>0.64850427350427298</v>
      </c>
      <c r="AI9" s="49">
        <v>0.62841880341880296</v>
      </c>
      <c r="AJ9" s="49">
        <v>0.45128205128205101</v>
      </c>
      <c r="AK9" s="49">
        <v>0.30769230769230799</v>
      </c>
      <c r="AL9" s="49">
        <v>0.31617774236245</v>
      </c>
      <c r="AM9" s="49">
        <v>0.37813122078481798</v>
      </c>
      <c r="AN9" s="49">
        <v>0.77882068950023897</v>
      </c>
      <c r="AO9" s="49">
        <v>0.77430586422056202</v>
      </c>
      <c r="AP9" s="49">
        <v>0.76655518310536197</v>
      </c>
      <c r="AQ9" s="49">
        <v>0.71883933984249904</v>
      </c>
      <c r="AR9" s="49">
        <v>0.45128205128205101</v>
      </c>
      <c r="AS9" s="49">
        <v>0.30769230769230799</v>
      </c>
      <c r="AT9" s="49">
        <v>0.256410256410256</v>
      </c>
      <c r="AU9" s="49">
        <v>0.27435897435897399</v>
      </c>
      <c r="AV9" s="49">
        <v>0.65250305250305296</v>
      </c>
      <c r="AW9" s="49">
        <v>0.62472527472527495</v>
      </c>
      <c r="AX9" s="49">
        <v>0.61318681318681301</v>
      </c>
      <c r="AY9" s="49">
        <v>0.60952380952381002</v>
      </c>
      <c r="AZ9" s="49">
        <v>2.2000000000000002</v>
      </c>
      <c r="BA9" s="49">
        <v>3.0128205128205101</v>
      </c>
      <c r="BB9" s="49">
        <v>3</v>
      </c>
      <c r="BC9" s="49">
        <v>2.6666666666666701</v>
      </c>
      <c r="BD9" s="49">
        <v>1.65151515151515</v>
      </c>
      <c r="BE9" s="49">
        <v>1.9358974358974399</v>
      </c>
      <c r="BF9" s="49">
        <v>1.94871794871795</v>
      </c>
      <c r="BG9" s="49">
        <v>2.12820512820513</v>
      </c>
      <c r="BH9" s="49">
        <v>51.855058858471402</v>
      </c>
      <c r="BI9" s="49">
        <v>11.150883151217799</v>
      </c>
      <c r="BJ9" s="49">
        <v>5.3430586543235501</v>
      </c>
      <c r="BK9" s="49">
        <v>2.9791464959193301</v>
      </c>
      <c r="BL9" s="49">
        <v>235.67973763657201</v>
      </c>
      <c r="BM9" s="49">
        <v>36.583232317512902</v>
      </c>
      <c r="BN9" s="49">
        <v>9.2048639341567196</v>
      </c>
      <c r="BO9" s="49">
        <v>4.7699411209191602</v>
      </c>
      <c r="BP9" s="49">
        <v>2.9238426144791099</v>
      </c>
      <c r="BQ9" s="49">
        <v>174.87696862670299</v>
      </c>
      <c r="BR9" s="49">
        <v>0.22002340709677001</v>
      </c>
      <c r="BS9" s="49">
        <v>4.7313711662446398E-2</v>
      </c>
      <c r="BT9" s="49">
        <v>2.2670844375101799E-2</v>
      </c>
      <c r="BU9" s="49">
        <v>1.26406560266683E-2</v>
      </c>
      <c r="BV9" s="49">
        <v>0.20919411289433101</v>
      </c>
      <c r="BW9" s="49">
        <v>5.2636227665895097E-2</v>
      </c>
      <c r="BX9" s="49">
        <v>2.7275982414249202E-2</v>
      </c>
      <c r="BY9" s="49">
        <v>1.6719426448433099E-2</v>
      </c>
    </row>
    <row r="10" spans="1:77">
      <c r="A10" s="80">
        <v>9</v>
      </c>
      <c r="B10" s="49" t="s">
        <v>639</v>
      </c>
      <c r="C10" s="9">
        <v>3</v>
      </c>
      <c r="D10" s="49" t="s">
        <v>680</v>
      </c>
      <c r="E10" s="30" t="s">
        <v>681</v>
      </c>
      <c r="F10" s="30">
        <v>67121322</v>
      </c>
      <c r="G10" s="75">
        <v>30.714285714285715</v>
      </c>
      <c r="H10" s="80">
        <v>34.571428571428569</v>
      </c>
      <c r="I10" s="77">
        <v>96.428571428571431</v>
      </c>
      <c r="J10" s="30">
        <v>8736</v>
      </c>
      <c r="K10" s="77">
        <v>96.428571428571431</v>
      </c>
      <c r="L10" s="49">
        <v>0.27566606956064998</v>
      </c>
      <c r="M10" s="49">
        <v>0.24049388568865299</v>
      </c>
      <c r="N10" s="49">
        <v>0.23948689308877799</v>
      </c>
      <c r="O10" s="49">
        <v>0.26072591487232499</v>
      </c>
      <c r="P10" s="49">
        <v>0.43727252940275502</v>
      </c>
      <c r="Q10" s="49">
        <v>0.38415486525792703</v>
      </c>
      <c r="R10" s="49">
        <v>0.39347116467917898</v>
      </c>
      <c r="S10" s="49">
        <v>0.414512223702379</v>
      </c>
      <c r="T10" s="49">
        <v>0.35210681287804302</v>
      </c>
      <c r="U10" s="49">
        <v>0.34264778228202802</v>
      </c>
      <c r="V10" s="49">
        <v>0.41122810677224098</v>
      </c>
      <c r="W10" s="49">
        <v>0.307272115352756</v>
      </c>
      <c r="X10" s="49">
        <v>0.50275922919890204</v>
      </c>
      <c r="Y10" s="49">
        <v>0.48855953887593301</v>
      </c>
      <c r="Z10" s="49">
        <v>0.42793650264340599</v>
      </c>
      <c r="AA10" s="49">
        <v>0.37652138995392698</v>
      </c>
      <c r="AB10" s="49">
        <v>0.55939393939394</v>
      </c>
      <c r="AC10" s="49">
        <v>0.61259259259259302</v>
      </c>
      <c r="AD10" s="49">
        <v>0.62222222222222201</v>
      </c>
      <c r="AE10" s="49">
        <v>0.56000000000000005</v>
      </c>
      <c r="AF10" s="49">
        <v>0.67521367521367504</v>
      </c>
      <c r="AG10" s="49">
        <v>0.71969696969696895</v>
      </c>
      <c r="AH10" s="49">
        <v>0.71969696969696895</v>
      </c>
      <c r="AI10" s="49">
        <v>0.67521367521367504</v>
      </c>
      <c r="AJ10" s="49">
        <v>0.49038581626891498</v>
      </c>
      <c r="AK10" s="49">
        <v>0.49559103319739101</v>
      </c>
      <c r="AL10" s="49">
        <v>0.60936994865761795</v>
      </c>
      <c r="AM10" s="49">
        <v>0.44815261130626499</v>
      </c>
      <c r="AN10" s="49">
        <v>0.77183868272190903</v>
      </c>
      <c r="AO10" s="49">
        <v>0.77055739905816401</v>
      </c>
      <c r="AP10" s="49">
        <v>0.64167684461446595</v>
      </c>
      <c r="AQ10" s="49">
        <v>0.58952241825506602</v>
      </c>
      <c r="AR10" s="49">
        <v>0.34871794871794898</v>
      </c>
      <c r="AS10" s="49">
        <v>0.36410256410256397</v>
      </c>
      <c r="AT10" s="49">
        <v>0.43846153846153801</v>
      </c>
      <c r="AU10" s="49">
        <v>0.37692307692307703</v>
      </c>
      <c r="AV10" s="49">
        <v>0.65293040293040305</v>
      </c>
      <c r="AW10" s="49">
        <v>0.59706959706959695</v>
      </c>
      <c r="AX10" s="49">
        <v>0.52710622710622701</v>
      </c>
      <c r="AY10" s="49">
        <v>0.50897435897435905</v>
      </c>
      <c r="AZ10" s="49">
        <v>2.3818181818181801</v>
      </c>
      <c r="BA10" s="49">
        <v>2.1333333333333302</v>
      </c>
      <c r="BB10" s="49">
        <v>2.0222222222222199</v>
      </c>
      <c r="BC10" s="49">
        <v>2.3636363636363602</v>
      </c>
      <c r="BD10" s="49">
        <v>1.7435897435897401</v>
      </c>
      <c r="BE10" s="49">
        <v>1.62121212121212</v>
      </c>
      <c r="BF10" s="49">
        <v>1.62121212121212</v>
      </c>
      <c r="BG10" s="49">
        <v>1.7435897435897401</v>
      </c>
      <c r="BH10" s="49">
        <v>26.013582320242602</v>
      </c>
      <c r="BI10" s="49">
        <v>9.41688735409247</v>
      </c>
      <c r="BJ10" s="49">
        <v>4.5928433454142201</v>
      </c>
      <c r="BK10" s="49">
        <v>2.5622318770283798</v>
      </c>
      <c r="BL10" s="49">
        <v>153.20537284569599</v>
      </c>
      <c r="BM10" s="49">
        <v>49.260788870661898</v>
      </c>
      <c r="BN10" s="49">
        <v>13.151388446213501</v>
      </c>
      <c r="BO10" s="49">
        <v>5.3837630223015598</v>
      </c>
      <c r="BP10" s="49">
        <v>2.6325754554156502</v>
      </c>
      <c r="BQ10" s="49">
        <v>256.02564058384002</v>
      </c>
      <c r="BR10" s="49">
        <v>0.16979549631358401</v>
      </c>
      <c r="BS10" s="49">
        <v>6.1465777467066399E-2</v>
      </c>
      <c r="BT10" s="49">
        <v>2.9978343840721601E-2</v>
      </c>
      <c r="BU10" s="49">
        <v>1.6724164625799301E-2</v>
      </c>
      <c r="BV10" s="49">
        <v>0.192405685455284</v>
      </c>
      <c r="BW10" s="49">
        <v>5.1367466228082297E-2</v>
      </c>
      <c r="BX10" s="49">
        <v>2.1028218150433899E-2</v>
      </c>
      <c r="BY10" s="49">
        <v>1.02824679958317E-2</v>
      </c>
    </row>
    <row r="11" spans="1:77">
      <c r="A11" s="80">
        <v>10</v>
      </c>
      <c r="B11" s="49" t="s">
        <v>639</v>
      </c>
      <c r="C11" s="9">
        <v>3</v>
      </c>
      <c r="D11" s="49" t="s">
        <v>682</v>
      </c>
      <c r="E11" s="30" t="s">
        <v>683</v>
      </c>
      <c r="F11" s="30">
        <v>67076460</v>
      </c>
      <c r="G11" s="75">
        <v>33.428571428571431</v>
      </c>
      <c r="H11" s="80">
        <v>35.714285714285722</v>
      </c>
      <c r="I11" s="77">
        <v>100</v>
      </c>
      <c r="J11" s="30">
        <v>5357</v>
      </c>
      <c r="K11" s="77">
        <v>100</v>
      </c>
      <c r="L11" s="49">
        <v>0.231332193852542</v>
      </c>
      <c r="M11" s="49">
        <v>0.24041076332053399</v>
      </c>
      <c r="N11" s="49">
        <v>0.21191672420016799</v>
      </c>
      <c r="O11" s="49">
        <v>0.21146194554095599</v>
      </c>
      <c r="P11" s="49">
        <v>0.42803414976398102</v>
      </c>
      <c r="Q11" s="49">
        <v>0.44525160595503699</v>
      </c>
      <c r="R11" s="49">
        <v>0.49440743951753802</v>
      </c>
      <c r="S11" s="49">
        <v>0.45344882655712798</v>
      </c>
      <c r="T11" s="49">
        <v>0.31932406979351802</v>
      </c>
      <c r="U11" s="49">
        <v>0.33736929376596703</v>
      </c>
      <c r="V11" s="49">
        <v>0.374403480907609</v>
      </c>
      <c r="W11" s="49">
        <v>0.37348559278641902</v>
      </c>
      <c r="X11" s="49">
        <v>0.45111025650175601</v>
      </c>
      <c r="Y11" s="49">
        <v>0.54767829965047199</v>
      </c>
      <c r="Z11" s="49">
        <v>0.54671989420010103</v>
      </c>
      <c r="AA11" s="49">
        <v>0.64284974139769502</v>
      </c>
      <c r="AB11" s="49">
        <v>0.76436781609195403</v>
      </c>
      <c r="AC11" s="49">
        <v>0.76436781609195403</v>
      </c>
      <c r="AD11" s="49">
        <v>0.86363636363636398</v>
      </c>
      <c r="AE11" s="49">
        <v>0.86363636363636398</v>
      </c>
      <c r="AF11" s="49">
        <v>0.64893162393162396</v>
      </c>
      <c r="AG11" s="49">
        <v>0.66773504273504303</v>
      </c>
      <c r="AH11" s="49">
        <v>0.67307692307692302</v>
      </c>
      <c r="AI11" s="49">
        <v>0.72979797979798</v>
      </c>
      <c r="AJ11" s="49">
        <v>0.39031696083988399</v>
      </c>
      <c r="AK11" s="49">
        <v>0.39666463696345</v>
      </c>
      <c r="AL11" s="49">
        <v>0.43007873278416697</v>
      </c>
      <c r="AM11" s="49">
        <v>0.43007873278416697</v>
      </c>
      <c r="AN11" s="49">
        <v>0.68193768873420701</v>
      </c>
      <c r="AO11" s="49">
        <v>0.82386491655539695</v>
      </c>
      <c r="AP11" s="49">
        <v>0.75374972551432295</v>
      </c>
      <c r="AQ11" s="49">
        <v>0.87930925525313897</v>
      </c>
      <c r="AR11" s="49">
        <v>0.33333333333333298</v>
      </c>
      <c r="AS11" s="49">
        <v>0.36410256410256397</v>
      </c>
      <c r="AT11" s="49">
        <v>0.40769230769230802</v>
      </c>
      <c r="AU11" s="49">
        <v>0.40769230769230802</v>
      </c>
      <c r="AV11" s="49">
        <v>0.566239316239316</v>
      </c>
      <c r="AW11" s="49">
        <v>0.65341880341880298</v>
      </c>
      <c r="AX11" s="49">
        <v>0.58620268620268601</v>
      </c>
      <c r="AY11" s="49">
        <v>0.72307692307692295</v>
      </c>
      <c r="AZ11" s="49">
        <v>1.5172413793103401</v>
      </c>
      <c r="BA11" s="49">
        <v>1.5172413793103401</v>
      </c>
      <c r="BB11" s="49">
        <v>1.27272727272727</v>
      </c>
      <c r="BC11" s="49">
        <v>1.27272727272727</v>
      </c>
      <c r="BD11" s="49">
        <v>1.94871794871795</v>
      </c>
      <c r="BE11" s="49">
        <v>1.7948717948718</v>
      </c>
      <c r="BF11" s="49">
        <v>1.7564102564102599</v>
      </c>
      <c r="BG11" s="49">
        <v>1.5606060606060601</v>
      </c>
      <c r="BH11" s="49">
        <v>41.340896836996599</v>
      </c>
      <c r="BI11" s="49">
        <v>13.926624097263</v>
      </c>
      <c r="BJ11" s="49">
        <v>6.3746866099046899</v>
      </c>
      <c r="BK11" s="49">
        <v>3.7975997181533101</v>
      </c>
      <c r="BL11" s="49">
        <v>213.471434701047</v>
      </c>
      <c r="BM11" s="49">
        <v>56.0584323219596</v>
      </c>
      <c r="BN11" s="49">
        <v>21.206453858939501</v>
      </c>
      <c r="BO11" s="49">
        <v>10.077414752840101</v>
      </c>
      <c r="BP11" s="49">
        <v>5.5312416680489997</v>
      </c>
      <c r="BQ11" s="49">
        <v>279.749201525638</v>
      </c>
      <c r="BR11" s="49">
        <v>0.19366008803422299</v>
      </c>
      <c r="BS11" s="49">
        <v>6.52388180965119E-2</v>
      </c>
      <c r="BT11" s="49">
        <v>2.9862012305449801E-2</v>
      </c>
      <c r="BU11" s="49">
        <v>1.7789732492647599E-2</v>
      </c>
      <c r="BV11" s="49">
        <v>0.20038817632450701</v>
      </c>
      <c r="BW11" s="49">
        <v>7.58052346290468E-2</v>
      </c>
      <c r="BX11" s="49">
        <v>3.60230331235337E-2</v>
      </c>
      <c r="BY11" s="49">
        <v>1.9772144613403202E-2</v>
      </c>
    </row>
    <row r="12" spans="1:77">
      <c r="A12" s="80">
        <v>11</v>
      </c>
      <c r="B12" s="49" t="s">
        <v>639</v>
      </c>
      <c r="C12" s="9">
        <v>3</v>
      </c>
      <c r="D12" s="49" t="s">
        <v>684</v>
      </c>
      <c r="E12" s="30" t="s">
        <v>685</v>
      </c>
      <c r="F12" s="30">
        <v>67211970</v>
      </c>
      <c r="G12" s="75">
        <v>31.714285714285715</v>
      </c>
      <c r="H12" s="80">
        <v>35.857142857142847</v>
      </c>
      <c r="I12" s="77">
        <v>100</v>
      </c>
      <c r="J12" s="30">
        <v>6552</v>
      </c>
      <c r="K12" s="77">
        <v>100</v>
      </c>
      <c r="L12" s="49">
        <v>0.24945565547959</v>
      </c>
      <c r="M12" s="49">
        <v>0.20269711806091301</v>
      </c>
      <c r="N12" s="49">
        <v>0.172020312957783</v>
      </c>
      <c r="O12" s="49">
        <v>0.200540061976406</v>
      </c>
      <c r="P12" s="49">
        <v>0.36315822552369498</v>
      </c>
      <c r="Q12" s="49">
        <v>0.38880233851527901</v>
      </c>
      <c r="R12" s="49">
        <v>0.36715161643838801</v>
      </c>
      <c r="S12" s="49">
        <v>0.35037394919849602</v>
      </c>
      <c r="T12" s="49">
        <v>0.36267006041474198</v>
      </c>
      <c r="U12" s="49">
        <v>0.37463504240905798</v>
      </c>
      <c r="V12" s="49">
        <v>0.38646403598977402</v>
      </c>
      <c r="W12" s="49">
        <v>0.356646657989654</v>
      </c>
      <c r="X12" s="49">
        <v>0.54283619919680703</v>
      </c>
      <c r="Y12" s="49">
        <v>0.496839096963757</v>
      </c>
      <c r="Z12" s="49">
        <v>0.53557056039460305</v>
      </c>
      <c r="AA12" s="49">
        <v>0.51770795280932103</v>
      </c>
      <c r="AB12" s="49">
        <v>0.77380952380952395</v>
      </c>
      <c r="AC12" s="49">
        <v>0.88095238095238104</v>
      </c>
      <c r="AD12" s="49">
        <v>1</v>
      </c>
      <c r="AE12" s="49">
        <v>0.85606060606060597</v>
      </c>
      <c r="AF12" s="49">
        <v>0.83333333333333304</v>
      </c>
      <c r="AG12" s="49">
        <v>0.65598290598290598</v>
      </c>
      <c r="AH12" s="49">
        <v>0.70202020202020199</v>
      </c>
      <c r="AI12" s="49">
        <v>0.69696969696969702</v>
      </c>
      <c r="AJ12" s="49">
        <v>0.39930950201493598</v>
      </c>
      <c r="AK12" s="49">
        <v>0.43589743589743601</v>
      </c>
      <c r="AL12" s="49">
        <v>0.46153846153846201</v>
      </c>
      <c r="AM12" s="49">
        <v>0.424421554645665</v>
      </c>
      <c r="AN12" s="49">
        <v>0.74356867889957101</v>
      </c>
      <c r="AO12" s="49">
        <v>0.81323722415678301</v>
      </c>
      <c r="AP12" s="49">
        <v>0.84905408475045796</v>
      </c>
      <c r="AQ12" s="49">
        <v>0.84904893734134701</v>
      </c>
      <c r="AR12" s="49">
        <v>0.37692307692307703</v>
      </c>
      <c r="AS12" s="49">
        <v>0.43589743589743601</v>
      </c>
      <c r="AT12" s="49">
        <v>0.46153846153846201</v>
      </c>
      <c r="AU12" s="49">
        <v>0.4</v>
      </c>
      <c r="AV12" s="49">
        <v>0.65018315018314998</v>
      </c>
      <c r="AW12" s="49">
        <v>0.68681318681318704</v>
      </c>
      <c r="AX12" s="49">
        <v>0.74450549450549397</v>
      </c>
      <c r="AY12" s="49">
        <v>0.74358974358974395</v>
      </c>
      <c r="AZ12" s="49">
        <v>1.5</v>
      </c>
      <c r="BA12" s="49">
        <v>1.2380952380952399</v>
      </c>
      <c r="BB12" s="49">
        <v>1</v>
      </c>
      <c r="BC12" s="49">
        <v>1.3181818181818199</v>
      </c>
      <c r="BD12" s="49">
        <v>1.34782608695652</v>
      </c>
      <c r="BE12" s="49">
        <v>1.8589743589743599</v>
      </c>
      <c r="BF12" s="49">
        <v>1.72727272727273</v>
      </c>
      <c r="BG12" s="49">
        <v>1.77272727272727</v>
      </c>
      <c r="BH12" s="49">
        <v>43.954867838703599</v>
      </c>
      <c r="BI12" s="49">
        <v>19.744594018259399</v>
      </c>
      <c r="BJ12" s="49">
        <v>6.6116061819072804</v>
      </c>
      <c r="BK12" s="49">
        <v>3.0968817885643301</v>
      </c>
      <c r="BL12" s="49">
        <v>179.45043105609099</v>
      </c>
      <c r="BM12" s="49">
        <v>49.564968097848698</v>
      </c>
      <c r="BN12" s="49">
        <v>13.037397664403001</v>
      </c>
      <c r="BO12" s="49">
        <v>7.0635334566942696</v>
      </c>
      <c r="BP12" s="49">
        <v>4.4327127240282502</v>
      </c>
      <c r="BQ12" s="49">
        <v>313.03434748608299</v>
      </c>
      <c r="BR12" s="49">
        <v>0.244941556172493</v>
      </c>
      <c r="BS12" s="49">
        <v>0.110028122540914</v>
      </c>
      <c r="BT12" s="49">
        <v>3.6843634997124501E-2</v>
      </c>
      <c r="BU12" s="49">
        <v>1.72575890196459E-2</v>
      </c>
      <c r="BV12" s="49">
        <v>0.15833715531824299</v>
      </c>
      <c r="BW12" s="49">
        <v>4.1648457330972603E-2</v>
      </c>
      <c r="BX12" s="49">
        <v>2.25647233711576E-2</v>
      </c>
      <c r="BY12" s="49">
        <v>1.41604675641076E-2</v>
      </c>
    </row>
    <row r="13" spans="1:77">
      <c r="A13" s="80">
        <v>12</v>
      </c>
      <c r="B13" s="49" t="s">
        <v>639</v>
      </c>
      <c r="C13" s="9">
        <v>3</v>
      </c>
      <c r="D13" s="49" t="s">
        <v>686</v>
      </c>
      <c r="E13" s="30" t="s">
        <v>0</v>
      </c>
      <c r="F13" s="30">
        <v>67162990</v>
      </c>
      <c r="G13" s="75">
        <v>32.857142857142854</v>
      </c>
      <c r="H13" s="80">
        <v>36.714285714285722</v>
      </c>
      <c r="I13" s="77">
        <v>96.457765667574932</v>
      </c>
      <c r="J13" s="30">
        <v>5872</v>
      </c>
      <c r="K13" s="77">
        <v>96.457765667574932</v>
      </c>
      <c r="L13" s="49">
        <v>0.29157319182811497</v>
      </c>
      <c r="M13" s="49">
        <v>0.27937725027249499</v>
      </c>
      <c r="N13" s="49">
        <v>0.25035695171622901</v>
      </c>
      <c r="O13" s="49">
        <v>0.24118618502493699</v>
      </c>
      <c r="P13" s="49">
        <v>0.43264570407289199</v>
      </c>
      <c r="Q13" s="49">
        <v>0.38247324849030501</v>
      </c>
      <c r="R13" s="49">
        <v>0.35723131260234497</v>
      </c>
      <c r="S13" s="49">
        <v>0.34155720250817501</v>
      </c>
      <c r="T13" s="49">
        <v>0.46140844745811999</v>
      </c>
      <c r="U13" s="49">
        <v>0.40502806323203999</v>
      </c>
      <c r="V13" s="49">
        <v>0.40515662496669103</v>
      </c>
      <c r="W13" s="49">
        <v>0.39055454964676301</v>
      </c>
      <c r="X13" s="49">
        <v>0.56461493321198697</v>
      </c>
      <c r="Y13" s="49">
        <v>0.57396724087978002</v>
      </c>
      <c r="Z13" s="49">
        <v>0.53323499059948898</v>
      </c>
      <c r="AA13" s="49">
        <v>0.50935651627121403</v>
      </c>
      <c r="AB13" s="49">
        <v>0.55121212121212204</v>
      </c>
      <c r="AC13" s="49">
        <v>0.54090909090909101</v>
      </c>
      <c r="AD13" s="49">
        <v>0.62037037037037102</v>
      </c>
      <c r="AE13" s="49">
        <v>0.62037037037037102</v>
      </c>
      <c r="AF13" s="49">
        <v>0.71464646464646397</v>
      </c>
      <c r="AG13" s="49">
        <v>0.78181818181818197</v>
      </c>
      <c r="AH13" s="49">
        <v>0.78181818181818197</v>
      </c>
      <c r="AI13" s="49">
        <v>0.78181818181818197</v>
      </c>
      <c r="AJ13" s="49">
        <v>0.62971061967341502</v>
      </c>
      <c r="AK13" s="49">
        <v>0.55865130902482596</v>
      </c>
      <c r="AL13" s="49">
        <v>0.58075792240368196</v>
      </c>
      <c r="AM13" s="49">
        <v>0.58075792240368196</v>
      </c>
      <c r="AN13" s="49">
        <v>0.77645332162940806</v>
      </c>
      <c r="AO13" s="49">
        <v>0.82264882713672305</v>
      </c>
      <c r="AP13" s="49">
        <v>0.81651642708482197</v>
      </c>
      <c r="AQ13" s="49">
        <v>0.81875943302929299</v>
      </c>
      <c r="AR13" s="49">
        <v>0.5</v>
      </c>
      <c r="AS13" s="49">
        <v>0.517948717948718</v>
      </c>
      <c r="AT13" s="49">
        <v>0.484615384615385</v>
      </c>
      <c r="AU13" s="49">
        <v>0.484615384615385</v>
      </c>
      <c r="AV13" s="49">
        <v>0.75726495726495702</v>
      </c>
      <c r="AW13" s="49">
        <v>0.74468864468864504</v>
      </c>
      <c r="AX13" s="49">
        <v>0.71080586080586095</v>
      </c>
      <c r="AY13" s="49">
        <v>0.71752136752136797</v>
      </c>
      <c r="AZ13" s="49">
        <v>2.4</v>
      </c>
      <c r="BA13" s="49">
        <v>2.5636363636363599</v>
      </c>
      <c r="BB13" s="49">
        <v>2.0222222222222199</v>
      </c>
      <c r="BC13" s="49">
        <v>2.0222222222222199</v>
      </c>
      <c r="BD13" s="49">
        <v>1.65151515151515</v>
      </c>
      <c r="BE13" s="49">
        <v>1.4363636363636401</v>
      </c>
      <c r="BF13" s="49">
        <v>1.4363636363636401</v>
      </c>
      <c r="BG13" s="49">
        <v>1.4363636363636401</v>
      </c>
      <c r="BH13" s="49">
        <v>39.870405477021897</v>
      </c>
      <c r="BI13" s="49">
        <v>13.4375343359361</v>
      </c>
      <c r="BJ13" s="49">
        <v>6.3186754470246704</v>
      </c>
      <c r="BK13" s="49">
        <v>2.67531015900604</v>
      </c>
      <c r="BL13" s="49">
        <v>180.62322491808999</v>
      </c>
      <c r="BM13" s="49">
        <v>61.808523645042001</v>
      </c>
      <c r="BN13" s="49">
        <v>17.152668773116901</v>
      </c>
      <c r="BO13" s="49">
        <v>7.6272733555668903</v>
      </c>
      <c r="BP13" s="49">
        <v>3.7763779567320799</v>
      </c>
      <c r="BQ13" s="49">
        <v>273.61189576337398</v>
      </c>
      <c r="BR13" s="49">
        <v>0.22073797815924501</v>
      </c>
      <c r="BS13" s="49">
        <v>7.4395384879379703E-2</v>
      </c>
      <c r="BT13" s="49">
        <v>3.49826300017071E-2</v>
      </c>
      <c r="BU13" s="49">
        <v>1.48115512842784E-2</v>
      </c>
      <c r="BV13" s="49">
        <v>0.22589852488904699</v>
      </c>
      <c r="BW13" s="49">
        <v>6.2689777157755297E-2</v>
      </c>
      <c r="BX13" s="49">
        <v>2.7876249072749101E-2</v>
      </c>
      <c r="BY13" s="49">
        <v>1.38019509210154E-2</v>
      </c>
    </row>
    <row r="14" spans="1:77">
      <c r="A14" s="80">
        <v>13</v>
      </c>
      <c r="B14" s="49" t="s">
        <v>639</v>
      </c>
      <c r="C14" s="9">
        <v>3</v>
      </c>
      <c r="D14" s="49" t="s">
        <v>693</v>
      </c>
      <c r="E14" s="30" t="s">
        <v>694</v>
      </c>
      <c r="F14" s="30">
        <v>66985083</v>
      </c>
      <c r="G14" s="75">
        <v>32</v>
      </c>
      <c r="H14" s="49">
        <v>35.285714285714278</v>
      </c>
      <c r="I14" s="77">
        <v>97.607655502392348</v>
      </c>
      <c r="J14" s="30">
        <v>3344</v>
      </c>
      <c r="K14" s="77">
        <v>97.607655502392348</v>
      </c>
      <c r="L14" s="49">
        <v>0.17748964841993201</v>
      </c>
      <c r="M14" s="49">
        <v>0.16891148264771599</v>
      </c>
      <c r="N14" s="49">
        <v>0.167218208883469</v>
      </c>
      <c r="O14" s="49">
        <v>0.15904417387764999</v>
      </c>
      <c r="P14" s="49">
        <v>0.39308038204861101</v>
      </c>
      <c r="Q14" s="49">
        <v>0.35791785740686799</v>
      </c>
      <c r="R14" s="49">
        <v>0.34122048338359301</v>
      </c>
      <c r="S14" s="49">
        <v>0.325851810350752</v>
      </c>
      <c r="T14" s="49">
        <v>0.42124121748098903</v>
      </c>
      <c r="U14" s="49">
        <v>0.447435131638309</v>
      </c>
      <c r="V14" s="49">
        <v>0.47250267760131498</v>
      </c>
      <c r="W14" s="49">
        <v>0.42076079947829598</v>
      </c>
      <c r="X14" s="49">
        <v>0.49589051814912</v>
      </c>
      <c r="Y14" s="49">
        <v>0.54615293298336498</v>
      </c>
      <c r="Z14" s="49">
        <v>0.52263438783497096</v>
      </c>
      <c r="AA14" s="49">
        <v>0.45274313745995798</v>
      </c>
      <c r="AB14" s="49">
        <v>0.81333333333333302</v>
      </c>
      <c r="AC14" s="49">
        <v>0.8</v>
      </c>
      <c r="AD14" s="49">
        <v>0.82</v>
      </c>
      <c r="AE14" s="49">
        <v>0.8</v>
      </c>
      <c r="AF14" s="49">
        <v>0.70959595959596</v>
      </c>
      <c r="AG14" s="49">
        <v>0.69949494949494995</v>
      </c>
      <c r="AH14" s="49">
        <v>0.70454545454545503</v>
      </c>
      <c r="AI14" s="49">
        <v>0.72222222222222199</v>
      </c>
      <c r="AJ14" s="49">
        <v>0.60480515517867195</v>
      </c>
      <c r="AK14" s="49">
        <v>0.64326669364021005</v>
      </c>
      <c r="AL14" s="49">
        <v>0.71019751427441502</v>
      </c>
      <c r="AM14" s="49">
        <v>0.64326669364021005</v>
      </c>
      <c r="AN14" s="49">
        <v>0.75325235535005097</v>
      </c>
      <c r="AO14" s="49">
        <v>0.87186948926031205</v>
      </c>
      <c r="AP14" s="49">
        <v>0.87564374997800398</v>
      </c>
      <c r="AQ14" s="49">
        <v>0.80568205507637103</v>
      </c>
      <c r="AR14" s="49">
        <v>0.56410256410256399</v>
      </c>
      <c r="AS14" s="49">
        <v>0.60256410256410298</v>
      </c>
      <c r="AT14" s="49">
        <v>0.60769230769230798</v>
      </c>
      <c r="AU14" s="49">
        <v>0.60256410256410298</v>
      </c>
      <c r="AV14" s="49">
        <v>0.55146520146520195</v>
      </c>
      <c r="AW14" s="49">
        <v>0.69267399267399299</v>
      </c>
      <c r="AX14" s="49">
        <v>0.71025641025640995</v>
      </c>
      <c r="AY14" s="49">
        <v>0.73547008547008497</v>
      </c>
      <c r="AZ14" s="49">
        <v>1.4</v>
      </c>
      <c r="BA14" s="49">
        <v>1.48</v>
      </c>
      <c r="BB14" s="49">
        <v>1.36</v>
      </c>
      <c r="BC14" s="49">
        <v>1.48</v>
      </c>
      <c r="BD14" s="49">
        <v>1.6969696969696999</v>
      </c>
      <c r="BE14" s="49">
        <v>1.75757575757576</v>
      </c>
      <c r="BF14" s="49">
        <v>1.7121212121212099</v>
      </c>
      <c r="BG14" s="49">
        <v>1.60606060606061</v>
      </c>
      <c r="BH14" s="49">
        <v>30.4423196379893</v>
      </c>
      <c r="BI14" s="49">
        <v>12.829437708035099</v>
      </c>
      <c r="BJ14" s="49">
        <v>5.2543413969353399</v>
      </c>
      <c r="BK14" s="49">
        <v>2.5251441272820601</v>
      </c>
      <c r="BL14" s="49">
        <v>153.76749904963401</v>
      </c>
      <c r="BM14" s="49">
        <v>45.603358428517303</v>
      </c>
      <c r="BN14" s="49">
        <v>14.287128724168101</v>
      </c>
      <c r="BO14" s="49">
        <v>5.4068623990258704</v>
      </c>
      <c r="BP14" s="49">
        <v>2.97243994156331</v>
      </c>
      <c r="BQ14" s="49">
        <v>232.14583995188801</v>
      </c>
      <c r="BR14" s="49">
        <v>0.197976294250341</v>
      </c>
      <c r="BS14" s="49">
        <v>8.3434001250771203E-2</v>
      </c>
      <c r="BT14" s="49">
        <v>3.4170689055944899E-2</v>
      </c>
      <c r="BU14" s="49">
        <v>1.64218325906893E-2</v>
      </c>
      <c r="BV14" s="49">
        <v>0.196442712210431</v>
      </c>
      <c r="BW14" s="49">
        <v>6.15437637268412E-2</v>
      </c>
      <c r="BX14" s="49">
        <v>2.32908003009938E-2</v>
      </c>
      <c r="BY14" s="49">
        <v>1.2804192149983599E-2</v>
      </c>
    </row>
    <row r="15" spans="1:77">
      <c r="A15" s="80">
        <v>14</v>
      </c>
      <c r="B15" s="49" t="s">
        <v>639</v>
      </c>
      <c r="C15" s="9">
        <v>3</v>
      </c>
      <c r="D15" s="49" t="s">
        <v>713</v>
      </c>
      <c r="E15" s="30" t="s">
        <v>714</v>
      </c>
      <c r="F15" s="30">
        <v>67146963</v>
      </c>
      <c r="G15" s="75">
        <v>29.428571428571427</v>
      </c>
      <c r="H15" s="49">
        <v>36</v>
      </c>
      <c r="I15" s="77">
        <v>91.164383561643831</v>
      </c>
      <c r="J15" s="30">
        <v>11680</v>
      </c>
      <c r="K15" s="77">
        <v>91.164383561643831</v>
      </c>
      <c r="L15" s="49">
        <v>0.22859846494386901</v>
      </c>
      <c r="M15" s="49">
        <v>0.23034536674449299</v>
      </c>
      <c r="N15" s="49">
        <v>0.29095279870806601</v>
      </c>
      <c r="O15" s="49">
        <v>0.22632060386283701</v>
      </c>
      <c r="P15" s="49">
        <v>0.50762834949707802</v>
      </c>
      <c r="Q15" s="49">
        <v>0.42647509805936801</v>
      </c>
      <c r="R15" s="49">
        <v>0.43380880552087198</v>
      </c>
      <c r="S15" s="49">
        <v>0.43244737725758198</v>
      </c>
      <c r="T15" s="49">
        <v>0.48659481770802498</v>
      </c>
      <c r="U15" s="49">
        <v>0.49082234525755097</v>
      </c>
      <c r="V15" s="49">
        <v>0.45486515167970798</v>
      </c>
      <c r="W15" s="49">
        <v>0.49131403821194097</v>
      </c>
      <c r="X15" s="49">
        <v>0.56639667067972499</v>
      </c>
      <c r="Y15" s="49">
        <v>0.58566572936491401</v>
      </c>
      <c r="Z15" s="49">
        <v>0.59508970577318598</v>
      </c>
      <c r="AA15" s="49">
        <v>0.66952782100967601</v>
      </c>
      <c r="AB15" s="49">
        <v>0.86363636363636398</v>
      </c>
      <c r="AC15" s="49">
        <v>0.86363636363636398</v>
      </c>
      <c r="AD15" s="49">
        <v>0.67361111111111105</v>
      </c>
      <c r="AE15" s="49">
        <v>0.86363636363636398</v>
      </c>
      <c r="AF15" s="49">
        <v>0.68686868686868696</v>
      </c>
      <c r="AG15" s="49">
        <v>0.83703703703703702</v>
      </c>
      <c r="AH15" s="49">
        <v>0.83703703703703702</v>
      </c>
      <c r="AI15" s="49">
        <v>0.83703703703703702</v>
      </c>
      <c r="AJ15" s="49">
        <v>0.51678805778486403</v>
      </c>
      <c r="AK15" s="49">
        <v>0.51678805778486403</v>
      </c>
      <c r="AL15" s="49">
        <v>0.47992785109972802</v>
      </c>
      <c r="AM15" s="49">
        <v>0.52576618621440596</v>
      </c>
      <c r="AN15" s="49">
        <v>0.632551683031919</v>
      </c>
      <c r="AO15" s="49">
        <v>0.65672750720774298</v>
      </c>
      <c r="AP15" s="49">
        <v>0.65672750720774298</v>
      </c>
      <c r="AQ15" s="49">
        <v>0.74338665929910697</v>
      </c>
      <c r="AR15" s="49">
        <v>0.43589743589743601</v>
      </c>
      <c r="AS15" s="49">
        <v>0.43589743589743601</v>
      </c>
      <c r="AT15" s="49">
        <v>0.40769230769230802</v>
      </c>
      <c r="AU15" s="49">
        <v>0.47692307692307701</v>
      </c>
      <c r="AV15" s="49">
        <v>0.58021978021978005</v>
      </c>
      <c r="AW15" s="49">
        <v>0.60439560439560402</v>
      </c>
      <c r="AX15" s="49">
        <v>0.60439560439560402</v>
      </c>
      <c r="AY15" s="49">
        <v>0.643956043956044</v>
      </c>
      <c r="AZ15" s="49">
        <v>1.27272727272727</v>
      </c>
      <c r="BA15" s="49">
        <v>1.27272727272727</v>
      </c>
      <c r="BB15" s="49">
        <v>1.8888888888888899</v>
      </c>
      <c r="BC15" s="49">
        <v>1.27272727272727</v>
      </c>
      <c r="BD15" s="49">
        <v>1.84848484848485</v>
      </c>
      <c r="BE15" s="49">
        <v>1.3555555555555601</v>
      </c>
      <c r="BF15" s="49">
        <v>1.3555555555555601</v>
      </c>
      <c r="BG15" s="49">
        <v>1.3555555555555601</v>
      </c>
      <c r="BH15" s="49">
        <v>31.080904179106501</v>
      </c>
      <c r="BI15" s="49">
        <v>9.5808165894389798</v>
      </c>
      <c r="BJ15" s="49">
        <v>3.3240813302704701</v>
      </c>
      <c r="BK15" s="49">
        <v>1.90321794845612</v>
      </c>
      <c r="BL15" s="49">
        <v>120.65103376927</v>
      </c>
      <c r="BM15" s="49">
        <v>63.193348475703402</v>
      </c>
      <c r="BN15" s="49">
        <v>10.300479573929699</v>
      </c>
      <c r="BO15" s="49">
        <v>3.5836506483950799</v>
      </c>
      <c r="BP15" s="49">
        <v>2.1744966333621099</v>
      </c>
      <c r="BQ15" s="49">
        <v>264.18768638886201</v>
      </c>
      <c r="BR15" s="49">
        <v>0.25760992846977898</v>
      </c>
      <c r="BS15" s="49">
        <v>7.9409320335879593E-2</v>
      </c>
      <c r="BT15" s="49">
        <v>2.7551204713482699E-2</v>
      </c>
      <c r="BU15" s="49">
        <v>1.57745680993981E-2</v>
      </c>
      <c r="BV15" s="49">
        <v>0.239198689914291</v>
      </c>
      <c r="BW15" s="49">
        <v>3.8989249327723199E-2</v>
      </c>
      <c r="BX15" s="49">
        <v>1.35647906129896E-2</v>
      </c>
      <c r="BY15" s="49">
        <v>8.2308780665933008E-3</v>
      </c>
    </row>
    <row r="16" spans="1:77">
      <c r="A16" s="80">
        <v>15</v>
      </c>
      <c r="B16" s="49" t="s">
        <v>639</v>
      </c>
      <c r="C16" s="9">
        <v>3</v>
      </c>
      <c r="D16" s="49" t="s">
        <v>720</v>
      </c>
      <c r="E16" s="30" t="s">
        <v>5</v>
      </c>
      <c r="F16" s="30">
        <v>67203513</v>
      </c>
      <c r="G16" s="75">
        <v>32.285714285714285</v>
      </c>
      <c r="H16" s="37">
        <v>36.571428571428569</v>
      </c>
      <c r="I16" s="77">
        <v>99.405204460966544</v>
      </c>
      <c r="J16" s="30">
        <v>5380</v>
      </c>
      <c r="K16" s="77">
        <v>99.405204460966544</v>
      </c>
      <c r="L16" s="49">
        <v>0.206877686322052</v>
      </c>
      <c r="M16" s="49">
        <v>0.21305752751809401</v>
      </c>
      <c r="N16" s="49">
        <v>0.18759363493265199</v>
      </c>
      <c r="O16" s="49">
        <v>0.18092496759145199</v>
      </c>
      <c r="P16" s="49">
        <v>0.45520633320932202</v>
      </c>
      <c r="Q16" s="49">
        <v>0.33341184202612301</v>
      </c>
      <c r="R16" s="49">
        <v>0.29263397316692302</v>
      </c>
      <c r="S16" s="49">
        <v>0.33724868052228402</v>
      </c>
      <c r="T16" s="49">
        <v>0.37145634054797599</v>
      </c>
      <c r="U16" s="49">
        <v>0.36234568602831602</v>
      </c>
      <c r="V16" s="49">
        <v>0.39804834228774499</v>
      </c>
      <c r="W16" s="49">
        <v>0.37527169841348701</v>
      </c>
      <c r="X16" s="49">
        <v>0.4530201980054</v>
      </c>
      <c r="Y16" s="49">
        <v>0.41091909784908898</v>
      </c>
      <c r="Z16" s="49">
        <v>0.44136662249727698</v>
      </c>
      <c r="AA16" s="49">
        <v>0.43102418935811998</v>
      </c>
      <c r="AB16" s="49">
        <v>0.79012345679012297</v>
      </c>
      <c r="AC16" s="49">
        <v>0.76436781609195403</v>
      </c>
      <c r="AD16" s="49">
        <v>0.86363636363636398</v>
      </c>
      <c r="AE16" s="49">
        <v>0.86363636363636398</v>
      </c>
      <c r="AF16" s="49">
        <v>0.66346153846153799</v>
      </c>
      <c r="AG16" s="49">
        <v>0.75297619047619102</v>
      </c>
      <c r="AH16" s="49">
        <v>0.90789473684210498</v>
      </c>
      <c r="AI16" s="49">
        <v>0.75595238095238104</v>
      </c>
      <c r="AJ16" s="49">
        <v>0.502564102564102</v>
      </c>
      <c r="AK16" s="49">
        <v>0.48869251755814003</v>
      </c>
      <c r="AL16" s="49">
        <v>0.52576618621440596</v>
      </c>
      <c r="AM16" s="49">
        <v>0.51201288794667899</v>
      </c>
      <c r="AN16" s="49">
        <v>0.63895810374375905</v>
      </c>
      <c r="AO16" s="49">
        <v>0.65695151176293898</v>
      </c>
      <c r="AP16" s="49">
        <v>0.67099763675000601</v>
      </c>
      <c r="AQ16" s="49">
        <v>0.69170815966825105</v>
      </c>
      <c r="AR16" s="49">
        <v>0.502564102564102</v>
      </c>
      <c r="AS16" s="49">
        <v>0.42307692307692302</v>
      </c>
      <c r="AT16" s="49">
        <v>0.47692307692307701</v>
      </c>
      <c r="AU16" s="49">
        <v>0.41025641025641002</v>
      </c>
      <c r="AV16" s="49">
        <v>0.61691086691086705</v>
      </c>
      <c r="AW16" s="49">
        <v>0.58669108669108705</v>
      </c>
      <c r="AX16" s="49">
        <v>0.58901098901098903</v>
      </c>
      <c r="AY16" s="49">
        <v>0.60207570207570205</v>
      </c>
      <c r="AZ16" s="49">
        <v>1.44444444444444</v>
      </c>
      <c r="BA16" s="49">
        <v>1.5172413793103401</v>
      </c>
      <c r="BB16" s="49">
        <v>1.27272727272727</v>
      </c>
      <c r="BC16" s="49">
        <v>1.27272727272727</v>
      </c>
      <c r="BD16" s="49">
        <v>1.82051282051282</v>
      </c>
      <c r="BE16" s="49">
        <v>1.58928571428571</v>
      </c>
      <c r="BF16" s="49">
        <v>1.18421052631579</v>
      </c>
      <c r="BG16" s="49">
        <v>1.5714285714285701</v>
      </c>
      <c r="BH16" s="49">
        <v>44.666019050232499</v>
      </c>
      <c r="BI16" s="49">
        <v>17.231104612409901</v>
      </c>
      <c r="BJ16" s="49">
        <v>6.0881258490416998</v>
      </c>
      <c r="BK16" s="49">
        <v>2.6936744006706999</v>
      </c>
      <c r="BL16" s="49">
        <v>202.013676694895</v>
      </c>
      <c r="BM16" s="49">
        <v>71.345559003929196</v>
      </c>
      <c r="BN16" s="49">
        <v>19.200468558899299</v>
      </c>
      <c r="BO16" s="49">
        <v>6.4853928000606196</v>
      </c>
      <c r="BP16" s="49">
        <v>3.3355548675715299</v>
      </c>
      <c r="BQ16" s="49">
        <v>328.44788727633801</v>
      </c>
      <c r="BR16" s="49">
        <v>0.22110393603544201</v>
      </c>
      <c r="BS16" s="49">
        <v>8.5296722946309897E-2</v>
      </c>
      <c r="BT16" s="49">
        <v>3.0137196395057599E-2</v>
      </c>
      <c r="BU16" s="49">
        <v>1.33341189801669E-2</v>
      </c>
      <c r="BV16" s="49">
        <v>0.21722033165006499</v>
      </c>
      <c r="BW16" s="49">
        <v>5.8458188658540799E-2</v>
      </c>
      <c r="BX16" s="49">
        <v>1.9745576242980001E-2</v>
      </c>
      <c r="BY16" s="49">
        <v>1.0155507149799899E-2</v>
      </c>
    </row>
    <row r="17" spans="1:77">
      <c r="A17" s="80">
        <v>16</v>
      </c>
      <c r="B17" s="49" t="s">
        <v>639</v>
      </c>
      <c r="C17" s="9">
        <v>3</v>
      </c>
      <c r="D17" s="49" t="s">
        <v>721</v>
      </c>
      <c r="E17" s="30" t="s">
        <v>722</v>
      </c>
      <c r="F17" s="30">
        <v>67203526</v>
      </c>
      <c r="G17" s="75">
        <v>32.285714285714285</v>
      </c>
      <c r="H17" s="37">
        <v>36.857142857142854</v>
      </c>
      <c r="I17" s="77">
        <v>99.06469212782541</v>
      </c>
      <c r="J17" s="30">
        <v>5132</v>
      </c>
      <c r="K17" s="77">
        <v>99.06469212782541</v>
      </c>
      <c r="L17" s="49">
        <v>0.195218906296898</v>
      </c>
      <c r="M17" s="49">
        <v>0.19292705639014401</v>
      </c>
      <c r="N17" s="49">
        <v>0.20042239984517099</v>
      </c>
      <c r="O17" s="49">
        <v>0.20279315733636999</v>
      </c>
      <c r="P17" s="49">
        <v>0.43214084006377101</v>
      </c>
      <c r="Q17" s="49">
        <v>0.34332701332343002</v>
      </c>
      <c r="R17" s="49">
        <v>0.34727095027378502</v>
      </c>
      <c r="S17" s="49">
        <v>0.34070260456300999</v>
      </c>
      <c r="T17" s="49">
        <v>0.421179786401292</v>
      </c>
      <c r="U17" s="49">
        <v>0.412541097712671</v>
      </c>
      <c r="V17" s="49">
        <v>0.42799470449465499</v>
      </c>
      <c r="W17" s="49">
        <v>0.42859246579811</v>
      </c>
      <c r="X17" s="49">
        <v>0.54508286380430404</v>
      </c>
      <c r="Y17" s="49">
        <v>0.45959651611330099</v>
      </c>
      <c r="Z17" s="49">
        <v>0.40931794127246701</v>
      </c>
      <c r="AA17" s="49">
        <v>0.40034292880377398</v>
      </c>
      <c r="AB17" s="49">
        <v>0.77380952380952395</v>
      </c>
      <c r="AC17" s="49">
        <v>0.77380952380952395</v>
      </c>
      <c r="AD17" s="49">
        <v>0.77380952380952395</v>
      </c>
      <c r="AE17" s="49">
        <v>0.76785714285714302</v>
      </c>
      <c r="AF17" s="49">
        <v>0.65149572649572596</v>
      </c>
      <c r="AG17" s="49">
        <v>0.76785714285714302</v>
      </c>
      <c r="AH17" s="49">
        <v>0.76190476190476197</v>
      </c>
      <c r="AI17" s="49">
        <v>0.76190476190476197</v>
      </c>
      <c r="AJ17" s="49">
        <v>0.58716382943402201</v>
      </c>
      <c r="AK17" s="49">
        <v>0.58716382943402201</v>
      </c>
      <c r="AL17" s="49">
        <v>0.58716382943402201</v>
      </c>
      <c r="AM17" s="49">
        <v>0.58133071357524302</v>
      </c>
      <c r="AN17" s="49">
        <v>0.811386644238838</v>
      </c>
      <c r="AO17" s="49">
        <v>0.72269182612481597</v>
      </c>
      <c r="AP17" s="49">
        <v>0.63421157217846802</v>
      </c>
      <c r="AQ17" s="49">
        <v>0.63421157217846802</v>
      </c>
      <c r="AR17" s="49">
        <v>0.492307692307692</v>
      </c>
      <c r="AS17" s="49">
        <v>0.492307692307692</v>
      </c>
      <c r="AT17" s="49">
        <v>0.492307692307692</v>
      </c>
      <c r="AU17" s="49">
        <v>0.46153846153846101</v>
      </c>
      <c r="AV17" s="49">
        <v>0.661904761904762</v>
      </c>
      <c r="AW17" s="49">
        <v>0.63339438339438303</v>
      </c>
      <c r="AX17" s="49">
        <v>0.58333333333333304</v>
      </c>
      <c r="AY17" s="49">
        <v>0.58333333333333304</v>
      </c>
      <c r="AZ17" s="49">
        <v>1.5</v>
      </c>
      <c r="BA17" s="49">
        <v>1.5</v>
      </c>
      <c r="BB17" s="49">
        <v>1.5</v>
      </c>
      <c r="BC17" s="49">
        <v>1.53571428571429</v>
      </c>
      <c r="BD17" s="49">
        <v>1.9358974358974399</v>
      </c>
      <c r="BE17" s="49">
        <v>1.5</v>
      </c>
      <c r="BF17" s="49">
        <v>1.53571428571429</v>
      </c>
      <c r="BG17" s="49">
        <v>1.53571428571429</v>
      </c>
      <c r="BH17" s="49">
        <v>40.464574307413102</v>
      </c>
      <c r="BI17" s="49">
        <v>9.6615560699023604</v>
      </c>
      <c r="BJ17" s="49">
        <v>3.9351708808341201</v>
      </c>
      <c r="BK17" s="49">
        <v>2.0266568789916199</v>
      </c>
      <c r="BL17" s="49">
        <v>206.300552269066</v>
      </c>
      <c r="BM17" s="49">
        <v>62.869904429880698</v>
      </c>
      <c r="BN17" s="49">
        <v>13.6755265267146</v>
      </c>
      <c r="BO17" s="49">
        <v>4.4906150664194202</v>
      </c>
      <c r="BP17" s="49">
        <v>2.3041662761105499</v>
      </c>
      <c r="BQ17" s="49">
        <v>315.05316757642402</v>
      </c>
      <c r="BR17" s="49">
        <v>0.19614380020969299</v>
      </c>
      <c r="BS17" s="49">
        <v>4.6832429499758799E-2</v>
      </c>
      <c r="BT17" s="49">
        <v>1.9074941087417401E-2</v>
      </c>
      <c r="BU17" s="49">
        <v>9.8238073369205405E-3</v>
      </c>
      <c r="BV17" s="49">
        <v>0.19955331639263699</v>
      </c>
      <c r="BW17" s="49">
        <v>4.3407043426717098E-2</v>
      </c>
      <c r="BX17" s="49">
        <v>1.42535150525986E-2</v>
      </c>
      <c r="BY17" s="49">
        <v>7.3135791454996902E-3</v>
      </c>
    </row>
    <row r="18" spans="1:77">
      <c r="A18" s="80">
        <v>17</v>
      </c>
      <c r="B18" s="49" t="s">
        <v>639</v>
      </c>
      <c r="C18" s="9">
        <v>3</v>
      </c>
      <c r="D18" s="49" t="s">
        <v>731</v>
      </c>
      <c r="E18" s="30" t="s">
        <v>206</v>
      </c>
      <c r="F18" s="30">
        <v>64906734</v>
      </c>
      <c r="G18" s="75">
        <v>31.142857142857142</v>
      </c>
      <c r="H18" s="49">
        <v>35.714285714285722</v>
      </c>
      <c r="I18" s="77">
        <v>72.785485592315908</v>
      </c>
      <c r="J18" s="30">
        <v>7496</v>
      </c>
      <c r="K18" s="77">
        <v>72.785485592315908</v>
      </c>
      <c r="L18" s="49">
        <v>0.21196309104502001</v>
      </c>
      <c r="M18" s="49">
        <v>0.20735531482181799</v>
      </c>
      <c r="N18" s="49">
        <v>0.201187458175168</v>
      </c>
      <c r="O18" s="49">
        <v>0.20056979994933499</v>
      </c>
      <c r="P18" s="49">
        <v>0.458703493297072</v>
      </c>
      <c r="Q18" s="49">
        <v>0.406848064107595</v>
      </c>
      <c r="R18" s="49">
        <v>0.38525866725545099</v>
      </c>
      <c r="S18" s="49">
        <v>0.38132956591669598</v>
      </c>
      <c r="T18" s="49">
        <v>0.28364923152230698</v>
      </c>
      <c r="U18" s="49">
        <v>0.29652901198081699</v>
      </c>
      <c r="V18" s="49">
        <v>0.28826532922789</v>
      </c>
      <c r="W18" s="49">
        <v>0.28884691761975301</v>
      </c>
      <c r="X18" s="49">
        <v>0.60527128118774198</v>
      </c>
      <c r="Y18" s="49">
        <v>0.55258985543035599</v>
      </c>
      <c r="Z18" s="49">
        <v>0.47675879145893402</v>
      </c>
      <c r="AA18" s="49">
        <v>0.51166155221399101</v>
      </c>
      <c r="AB18" s="49">
        <v>0.79012345679012297</v>
      </c>
      <c r="AC18" s="49">
        <v>0.74731182795698903</v>
      </c>
      <c r="AD18" s="49">
        <v>0.74193548387096797</v>
      </c>
      <c r="AE18" s="49">
        <v>0.74193548387096797</v>
      </c>
      <c r="AF18" s="49">
        <v>0.62072649572649596</v>
      </c>
      <c r="AG18" s="49">
        <v>0.64743589743589802</v>
      </c>
      <c r="AH18" s="49">
        <v>0.65705128205128205</v>
      </c>
      <c r="AI18" s="49">
        <v>0.66452991452991395</v>
      </c>
      <c r="AJ18" s="49">
        <v>0.36284614878108401</v>
      </c>
      <c r="AK18" s="49">
        <v>0.42057163134432801</v>
      </c>
      <c r="AL18" s="49">
        <v>0.414128200063135</v>
      </c>
      <c r="AM18" s="49">
        <v>0.414128200063135</v>
      </c>
      <c r="AN18" s="49">
        <v>0.78304344609038101</v>
      </c>
      <c r="AO18" s="49">
        <v>0.83179631319978498</v>
      </c>
      <c r="AP18" s="49">
        <v>0.78040604696312799</v>
      </c>
      <c r="AQ18" s="49">
        <v>0.87087458901799197</v>
      </c>
      <c r="AR18" s="49">
        <v>0.30256410256410299</v>
      </c>
      <c r="AS18" s="49">
        <v>0.36410256410256397</v>
      </c>
      <c r="AT18" s="49">
        <v>0.35384615384615398</v>
      </c>
      <c r="AU18" s="49">
        <v>0.35384615384615398</v>
      </c>
      <c r="AV18" s="49">
        <v>0.72344322344322298</v>
      </c>
      <c r="AW18" s="49">
        <v>0.66575091575091605</v>
      </c>
      <c r="AX18" s="49">
        <v>0.63846153846153797</v>
      </c>
      <c r="AY18" s="49">
        <v>0.60256410256410298</v>
      </c>
      <c r="AZ18" s="49">
        <v>1.44444444444444</v>
      </c>
      <c r="BA18" s="49">
        <v>1.54838709677419</v>
      </c>
      <c r="BB18" s="49">
        <v>1.5806451612903201</v>
      </c>
      <c r="BC18" s="49">
        <v>1.5806451612903201</v>
      </c>
      <c r="BD18" s="49">
        <v>2.1666666666666701</v>
      </c>
      <c r="BE18" s="49">
        <v>1.9358974358974399</v>
      </c>
      <c r="BF18" s="49">
        <v>1.87179487179487</v>
      </c>
      <c r="BG18" s="49">
        <v>1.8076923076923099</v>
      </c>
      <c r="BH18" s="49">
        <v>30.900501966312898</v>
      </c>
      <c r="BI18" s="49">
        <v>5.6565825274948098</v>
      </c>
      <c r="BJ18" s="49">
        <v>3.14754716968875</v>
      </c>
      <c r="BK18" s="49">
        <v>1.6203904409349601</v>
      </c>
      <c r="BL18" s="49">
        <v>217.55788548143599</v>
      </c>
      <c r="BM18" s="49">
        <v>63.0962732867958</v>
      </c>
      <c r="BN18" s="49">
        <v>7.6874206725899601</v>
      </c>
      <c r="BO18" s="49">
        <v>2.7106219977278601</v>
      </c>
      <c r="BP18" s="49">
        <v>1.74186769664084</v>
      </c>
      <c r="BQ18" s="49">
        <v>353.90219996309401</v>
      </c>
      <c r="BR18" s="49">
        <v>0.14203347259940899</v>
      </c>
      <c r="BS18" s="49">
        <v>2.6000356249911601E-2</v>
      </c>
      <c r="BT18" s="49">
        <v>1.4467630822590101E-2</v>
      </c>
      <c r="BU18" s="49">
        <v>7.4480887573860101E-3</v>
      </c>
      <c r="BV18" s="49">
        <v>0.178287315799042</v>
      </c>
      <c r="BW18" s="49">
        <v>2.1721878737661501E-2</v>
      </c>
      <c r="BX18" s="49">
        <v>7.6592403155745798E-3</v>
      </c>
      <c r="BY18" s="49">
        <v>4.9218899934006799E-3</v>
      </c>
    </row>
    <row r="19" spans="1:77">
      <c r="A19" s="80">
        <v>18</v>
      </c>
      <c r="B19" s="49" t="s">
        <v>639</v>
      </c>
      <c r="C19" s="9">
        <v>3</v>
      </c>
      <c r="D19" s="49" t="s">
        <v>734</v>
      </c>
      <c r="E19" s="30" t="s">
        <v>735</v>
      </c>
      <c r="F19" s="30">
        <v>67079367</v>
      </c>
      <c r="G19" s="75">
        <v>32.142857142857146</v>
      </c>
      <c r="H19" s="49">
        <v>35.857142857142847</v>
      </c>
      <c r="I19" s="77">
        <v>63.917525773195869</v>
      </c>
      <c r="J19" s="30">
        <v>4656</v>
      </c>
      <c r="K19" s="77">
        <v>63.917525773195869</v>
      </c>
      <c r="L19" s="49">
        <v>0.16686661534724001</v>
      </c>
      <c r="M19" s="49">
        <v>0.21510059420040001</v>
      </c>
      <c r="N19" s="49">
        <v>0.222535545876377</v>
      </c>
      <c r="O19" s="49">
        <v>0.22766119807429699</v>
      </c>
      <c r="P19" s="49">
        <v>0.40765433592538503</v>
      </c>
      <c r="Q19" s="49">
        <v>0.38568044897460702</v>
      </c>
      <c r="R19" s="49">
        <v>0.40433504769610101</v>
      </c>
      <c r="S19" s="49">
        <v>0.397752761773009</v>
      </c>
      <c r="T19" s="49">
        <v>0.389395643885519</v>
      </c>
      <c r="U19" s="49">
        <v>0.376564371531175</v>
      </c>
      <c r="V19" s="49">
        <v>0.31105050486188801</v>
      </c>
      <c r="W19" s="49">
        <v>0.32275065321725199</v>
      </c>
      <c r="X19" s="49">
        <v>0.41805563343861202</v>
      </c>
      <c r="Y19" s="49">
        <v>0.50914387138728301</v>
      </c>
      <c r="Z19" s="49">
        <v>0.47860124763661199</v>
      </c>
      <c r="AA19" s="49">
        <v>0.52619683564307296</v>
      </c>
      <c r="AB19" s="49">
        <v>0.77884615384615397</v>
      </c>
      <c r="AC19" s="49">
        <v>0.59384057971014503</v>
      </c>
      <c r="AD19" s="49">
        <v>0.57898550724637698</v>
      </c>
      <c r="AE19" s="49">
        <v>0.57898550724637698</v>
      </c>
      <c r="AF19" s="49">
        <v>0.65277777777777701</v>
      </c>
      <c r="AG19" s="49">
        <v>0.66452991452991395</v>
      </c>
      <c r="AH19" s="49">
        <v>0.66132478632478597</v>
      </c>
      <c r="AI19" s="49">
        <v>0.64743589743589702</v>
      </c>
      <c r="AJ19" s="49">
        <v>0.61986672061375403</v>
      </c>
      <c r="AK19" s="49">
        <v>0.630610211481621</v>
      </c>
      <c r="AL19" s="49">
        <v>0.48799514573793201</v>
      </c>
      <c r="AM19" s="49">
        <v>0.48799514573793201</v>
      </c>
      <c r="AN19" s="49">
        <v>0.66294519226592696</v>
      </c>
      <c r="AO19" s="49">
        <v>0.87370339368861205</v>
      </c>
      <c r="AP19" s="49">
        <v>0.77988278793850896</v>
      </c>
      <c r="AQ19" s="49">
        <v>0.85433876245506502</v>
      </c>
      <c r="AR19" s="49">
        <v>0.53846153846153799</v>
      </c>
      <c r="AS19" s="49">
        <v>0.517948717948718</v>
      </c>
      <c r="AT19" s="49">
        <v>0.46153846153846201</v>
      </c>
      <c r="AU19" s="49">
        <v>0.46153846153846201</v>
      </c>
      <c r="AV19" s="49">
        <v>0.477472527472528</v>
      </c>
      <c r="AW19" s="49">
        <v>0.70842490842490802</v>
      </c>
      <c r="AX19" s="49">
        <v>0.64102564102564097</v>
      </c>
      <c r="AY19" s="49">
        <v>0.78717948717948705</v>
      </c>
      <c r="AZ19" s="49">
        <v>1.57692307692308</v>
      </c>
      <c r="BA19" s="49">
        <v>2.2608695652173898</v>
      </c>
      <c r="BB19" s="49">
        <v>2.4130434782608701</v>
      </c>
      <c r="BC19" s="49">
        <v>2.4130434782608701</v>
      </c>
      <c r="BD19" s="49">
        <v>1.9102564102564099</v>
      </c>
      <c r="BE19" s="49">
        <v>1.8076923076923099</v>
      </c>
      <c r="BF19" s="49">
        <v>1.8333333333333299</v>
      </c>
      <c r="BG19" s="49">
        <v>1.9102564102564099</v>
      </c>
      <c r="BH19" s="49">
        <v>41.3958764485917</v>
      </c>
      <c r="BI19" s="49">
        <v>26.6103552540206</v>
      </c>
      <c r="BJ19" s="49">
        <v>10.8165306624721</v>
      </c>
      <c r="BK19" s="49">
        <v>4.1250160487503598</v>
      </c>
      <c r="BL19" s="49">
        <v>174.26214015937401</v>
      </c>
      <c r="BM19" s="49">
        <v>13.8786107320749</v>
      </c>
      <c r="BN19" s="49">
        <v>10.9937848075263</v>
      </c>
      <c r="BO19" s="49">
        <v>6.0525006498723597</v>
      </c>
      <c r="BP19" s="49">
        <v>2.4657359825565099</v>
      </c>
      <c r="BQ19" s="49">
        <v>74.959911226683104</v>
      </c>
      <c r="BR19" s="49">
        <v>0.23754945515263601</v>
      </c>
      <c r="BS19" s="49">
        <v>0.152703021033046</v>
      </c>
      <c r="BT19" s="49">
        <v>6.2070456913818101E-2</v>
      </c>
      <c r="BU19" s="49">
        <v>2.3671326686208301E-2</v>
      </c>
      <c r="BV19" s="49">
        <v>0.185147107366566</v>
      </c>
      <c r="BW19" s="49">
        <v>0.146662190864667</v>
      </c>
      <c r="BX19" s="49">
        <v>8.0743167258686493E-2</v>
      </c>
      <c r="BY19" s="49">
        <v>3.2894062202127997E-2</v>
      </c>
    </row>
    <row r="20" spans="1:77">
      <c r="A20" s="80">
        <v>19</v>
      </c>
      <c r="B20" s="49" t="s">
        <v>639</v>
      </c>
      <c r="C20" s="9">
        <v>3</v>
      </c>
      <c r="D20" s="49" t="s">
        <v>738</v>
      </c>
      <c r="E20" s="30" t="s">
        <v>202</v>
      </c>
      <c r="F20" s="30">
        <v>66809729</v>
      </c>
      <c r="G20" s="75">
        <v>25.428571428571427</v>
      </c>
      <c r="H20" s="49">
        <v>37.571428571428569</v>
      </c>
      <c r="I20" s="77">
        <v>100</v>
      </c>
      <c r="J20" s="30">
        <v>60384</v>
      </c>
      <c r="K20" s="77">
        <v>100</v>
      </c>
      <c r="L20" s="49">
        <v>0.248636497366615</v>
      </c>
      <c r="M20" s="49">
        <v>0.20987755586332499</v>
      </c>
      <c r="N20" s="49">
        <v>0.22761714651685999</v>
      </c>
      <c r="O20" s="49">
        <v>0.21715282948663001</v>
      </c>
      <c r="P20" s="49">
        <v>0.35005697782169798</v>
      </c>
      <c r="Q20" s="49">
        <v>0.38373534439587798</v>
      </c>
      <c r="R20" s="49">
        <v>0.34619357440815501</v>
      </c>
      <c r="S20" s="49">
        <v>0.371617172765149</v>
      </c>
      <c r="T20" s="49">
        <v>0.226745410141941</v>
      </c>
      <c r="U20" s="49">
        <v>0.32531963303148898</v>
      </c>
      <c r="V20" s="49">
        <v>0.28605691765320901</v>
      </c>
      <c r="W20" s="49">
        <v>0.21769379213460599</v>
      </c>
      <c r="X20" s="49">
        <v>0.51608835491711402</v>
      </c>
      <c r="Y20" s="49">
        <v>0.50769624851076101</v>
      </c>
      <c r="Z20" s="49">
        <v>0.52738109956221002</v>
      </c>
      <c r="AA20" s="49">
        <v>0.49092711372248699</v>
      </c>
      <c r="AB20" s="49">
        <v>0.56878787878787895</v>
      </c>
      <c r="AC20" s="49">
        <v>0.64074074074074105</v>
      </c>
      <c r="AD20" s="49">
        <v>0.59090909090909105</v>
      </c>
      <c r="AE20" s="49">
        <v>0.58939393939394003</v>
      </c>
      <c r="AF20" s="49">
        <v>0.844444444444444</v>
      </c>
      <c r="AG20" s="49">
        <v>0.77272727272727304</v>
      </c>
      <c r="AH20" s="49">
        <v>0.84074074074074101</v>
      </c>
      <c r="AI20" s="49">
        <v>0.77575757575757598</v>
      </c>
      <c r="AJ20" s="49">
        <v>0.35881283399959202</v>
      </c>
      <c r="AK20" s="49">
        <v>0.57500211386024003</v>
      </c>
      <c r="AL20" s="49">
        <v>0.52031952179770702</v>
      </c>
      <c r="AM20" s="49">
        <v>0.417556443009999</v>
      </c>
      <c r="AN20" s="49">
        <v>0.72361314439037905</v>
      </c>
      <c r="AO20" s="49">
        <v>0.72028655037462497</v>
      </c>
      <c r="AP20" s="49">
        <v>0.74489801075709905</v>
      </c>
      <c r="AQ20" s="49">
        <v>0.72263136004063799</v>
      </c>
      <c r="AR20" s="49">
        <v>0.33846153846153898</v>
      </c>
      <c r="AS20" s="49">
        <v>0.49633699633699602</v>
      </c>
      <c r="AT20" s="49">
        <v>0.42857142857142899</v>
      </c>
      <c r="AU20" s="49">
        <v>0.36813186813186799</v>
      </c>
      <c r="AV20" s="49">
        <v>0.54810744810744805</v>
      </c>
      <c r="AW20" s="49">
        <v>0.62069597069597104</v>
      </c>
      <c r="AX20" s="49">
        <v>0.65128205128205097</v>
      </c>
      <c r="AY20" s="49">
        <v>0.61941391941391899</v>
      </c>
      <c r="AZ20" s="49">
        <v>2.25454545454545</v>
      </c>
      <c r="BA20" s="49">
        <v>1.86666666666667</v>
      </c>
      <c r="BB20" s="49">
        <v>2.0545454545454498</v>
      </c>
      <c r="BC20" s="49">
        <v>2.0727272727272701</v>
      </c>
      <c r="BD20" s="49">
        <v>1.31111111111111</v>
      </c>
      <c r="BE20" s="49">
        <v>1.4909090909090901</v>
      </c>
      <c r="BF20" s="49">
        <v>1.3333333333333299</v>
      </c>
      <c r="BG20" s="49">
        <v>1.47272727272727</v>
      </c>
      <c r="BH20" s="49">
        <v>37.6052764057888</v>
      </c>
      <c r="BI20" s="49">
        <v>8.7484649578128604</v>
      </c>
      <c r="BJ20" s="49">
        <v>3.7127112333324401</v>
      </c>
      <c r="BK20" s="49">
        <v>2.2507708075908202</v>
      </c>
      <c r="BL20" s="49">
        <v>174.09692271318099</v>
      </c>
      <c r="BM20" s="49">
        <v>63.4304297496572</v>
      </c>
      <c r="BN20" s="49">
        <v>17.940839830087199</v>
      </c>
      <c r="BO20" s="49">
        <v>7.1715902481080498</v>
      </c>
      <c r="BP20" s="49">
        <v>4.1483046125643002</v>
      </c>
      <c r="BQ20" s="49">
        <v>261.81324653382001</v>
      </c>
      <c r="BR20" s="49">
        <v>0.21600195925198701</v>
      </c>
      <c r="BS20" s="49">
        <v>5.02505433265222E-2</v>
      </c>
      <c r="BT20" s="49">
        <v>2.1325541976689701E-2</v>
      </c>
      <c r="BU20" s="49">
        <v>1.2928263018748999E-2</v>
      </c>
      <c r="BV20" s="49">
        <v>0.24227356938360001</v>
      </c>
      <c r="BW20" s="49">
        <v>6.8525332723260807E-2</v>
      </c>
      <c r="BX20" s="49">
        <v>2.7392006871514999E-2</v>
      </c>
      <c r="BY20" s="49">
        <v>1.5844517676184201E-2</v>
      </c>
    </row>
    <row r="21" spans="1:77">
      <c r="A21" s="80">
        <v>20</v>
      </c>
      <c r="B21" s="49" t="s">
        <v>639</v>
      </c>
      <c r="C21" s="9">
        <v>3</v>
      </c>
      <c r="D21" s="49" t="s">
        <v>739</v>
      </c>
      <c r="E21" s="30" t="s">
        <v>209</v>
      </c>
      <c r="F21" s="30">
        <v>66907802</v>
      </c>
      <c r="G21" s="75">
        <v>33.714285714285715</v>
      </c>
      <c r="H21" s="80">
        <v>37.285714285714278</v>
      </c>
      <c r="I21" s="77">
        <v>67.169476486246666</v>
      </c>
      <c r="J21" s="30">
        <v>9016</v>
      </c>
      <c r="K21" s="77">
        <v>67.169476486246666</v>
      </c>
      <c r="L21" s="49">
        <v>0.30660099139478397</v>
      </c>
      <c r="M21" s="49">
        <v>0.17709092385588801</v>
      </c>
      <c r="N21" s="49">
        <v>0.17250162355504001</v>
      </c>
      <c r="O21" s="49">
        <v>0.21942465259746999</v>
      </c>
      <c r="P21" s="49">
        <v>0.432638926490237</v>
      </c>
      <c r="Q21" s="49">
        <v>0.34249093996040197</v>
      </c>
      <c r="R21" s="49">
        <v>0.32577339443206699</v>
      </c>
      <c r="S21" s="49">
        <v>0.30688092568005199</v>
      </c>
      <c r="T21" s="49">
        <v>0.172234774663553</v>
      </c>
      <c r="U21" s="49">
        <v>0.34285494717564602</v>
      </c>
      <c r="V21" s="49">
        <v>0.25754873443209803</v>
      </c>
      <c r="W21" s="49">
        <v>0.296923297172902</v>
      </c>
      <c r="X21" s="49">
        <v>0.642100550049299</v>
      </c>
      <c r="Y21" s="49">
        <v>0.418842116437599</v>
      </c>
      <c r="Z21" s="49">
        <v>0.430157680509969</v>
      </c>
      <c r="AA21" s="49">
        <v>0.39230915563871799</v>
      </c>
      <c r="AB21" s="49">
        <v>0.56787878787878798</v>
      </c>
      <c r="AC21" s="49">
        <v>0.81333333333333302</v>
      </c>
      <c r="AD21" s="49">
        <v>0.82</v>
      </c>
      <c r="AE21" s="49">
        <v>0.58550724637681195</v>
      </c>
      <c r="AF21" s="49">
        <v>0.705808080808081</v>
      </c>
      <c r="AG21" s="49">
        <v>0.69949494949494895</v>
      </c>
      <c r="AH21" s="49">
        <v>0.70454545454545503</v>
      </c>
      <c r="AI21" s="49">
        <v>0.69444444444444497</v>
      </c>
      <c r="AJ21" s="49">
        <v>0.21762566799918501</v>
      </c>
      <c r="AK21" s="49">
        <v>0.51128428578603002</v>
      </c>
      <c r="AL21" s="49">
        <v>0.39462950740964498</v>
      </c>
      <c r="AM21" s="49">
        <v>0.47072126802881298</v>
      </c>
      <c r="AN21" s="49">
        <v>0.88310846798590903</v>
      </c>
      <c r="AO21" s="49">
        <v>0.71851405914642197</v>
      </c>
      <c r="AP21" s="49">
        <v>0.76916774315712999</v>
      </c>
      <c r="AQ21" s="49">
        <v>0.75046845054314304</v>
      </c>
      <c r="AR21" s="49">
        <v>0.17692307692307699</v>
      </c>
      <c r="AS21" s="49">
        <v>0.41794871794871802</v>
      </c>
      <c r="AT21" s="49">
        <v>0.36410256410256397</v>
      </c>
      <c r="AU21" s="49">
        <v>0.37179487179487197</v>
      </c>
      <c r="AV21" s="49">
        <v>0.74358974358974395</v>
      </c>
      <c r="AW21" s="49">
        <v>0.60183150183150202</v>
      </c>
      <c r="AX21" s="49">
        <v>0.64322344322344305</v>
      </c>
      <c r="AY21" s="49">
        <v>0.65989010989010999</v>
      </c>
      <c r="AZ21" s="49">
        <v>2.2727272727272698</v>
      </c>
      <c r="BA21" s="49">
        <v>1.4</v>
      </c>
      <c r="BB21" s="49">
        <v>1.36</v>
      </c>
      <c r="BC21" s="49">
        <v>2.3695652173913002</v>
      </c>
      <c r="BD21" s="49">
        <v>1.7121212121212099</v>
      </c>
      <c r="BE21" s="49">
        <v>1.75757575757576</v>
      </c>
      <c r="BF21" s="49">
        <v>1.72727272727273</v>
      </c>
      <c r="BG21" s="49">
        <v>1.7878787878787901</v>
      </c>
      <c r="BH21" s="49">
        <v>58.768436424995997</v>
      </c>
      <c r="BI21" s="49">
        <v>23.2821226100553</v>
      </c>
      <c r="BJ21" s="49">
        <v>9.7560274077917306</v>
      </c>
      <c r="BK21" s="49">
        <v>4.4254496000697197</v>
      </c>
      <c r="BL21" s="49">
        <v>304.06143999728499</v>
      </c>
      <c r="BM21" s="49">
        <v>68.326464539809805</v>
      </c>
      <c r="BN21" s="49">
        <v>24.185735531681399</v>
      </c>
      <c r="BO21" s="49">
        <v>9.9522292472040608</v>
      </c>
      <c r="BP21" s="49">
        <v>5.0954519545526598</v>
      </c>
      <c r="BQ21" s="49">
        <v>333.612070506029</v>
      </c>
      <c r="BR21" s="49">
        <v>0.19327816255004501</v>
      </c>
      <c r="BS21" s="49">
        <v>7.65704543471976E-2</v>
      </c>
      <c r="BT21" s="49">
        <v>3.2085710729643398E-2</v>
      </c>
      <c r="BU21" s="49">
        <v>1.45544584677006E-2</v>
      </c>
      <c r="BV21" s="49">
        <v>0.204808130701539</v>
      </c>
      <c r="BW21" s="49">
        <v>7.24965841163841E-2</v>
      </c>
      <c r="BX21" s="49">
        <v>2.98317420952675E-2</v>
      </c>
      <c r="BY21" s="49">
        <v>1.5273583916864199E-2</v>
      </c>
    </row>
    <row r="22" spans="1:77">
      <c r="A22" s="80">
        <v>21</v>
      </c>
      <c r="B22" s="49" t="s">
        <v>639</v>
      </c>
      <c r="C22" s="9">
        <v>3</v>
      </c>
      <c r="D22" s="49" t="s">
        <v>742</v>
      </c>
      <c r="E22" s="73" t="s">
        <v>743</v>
      </c>
      <c r="F22" s="73">
        <v>67160854</v>
      </c>
      <c r="G22" s="76">
        <v>30.285714285714285</v>
      </c>
      <c r="H22" s="80">
        <v>37.285714285714278</v>
      </c>
      <c r="I22" s="78">
        <v>99.958940669267093</v>
      </c>
      <c r="J22" s="73">
        <v>9742</v>
      </c>
      <c r="K22" s="78">
        <v>99.958940669267093</v>
      </c>
      <c r="L22" s="49">
        <v>0.22002207107673899</v>
      </c>
      <c r="M22" s="49">
        <v>0.171878054231383</v>
      </c>
      <c r="N22" s="49">
        <v>0.17173567086243099</v>
      </c>
      <c r="O22" s="49">
        <v>0.22164481270936501</v>
      </c>
      <c r="P22" s="49">
        <v>0.41687159051977701</v>
      </c>
      <c r="Q22" s="49">
        <v>0.388690778015859</v>
      </c>
      <c r="R22" s="49">
        <v>0.34635767800531397</v>
      </c>
      <c r="S22" s="49">
        <v>0.34233033411156299</v>
      </c>
      <c r="T22" s="49">
        <v>0.33924707061659798</v>
      </c>
      <c r="U22" s="49">
        <v>0.37293462687263002</v>
      </c>
      <c r="V22" s="49">
        <v>0.38742596944763702</v>
      </c>
      <c r="W22" s="49">
        <v>0.36223579441249498</v>
      </c>
      <c r="X22" s="49">
        <v>0.59804840896397504</v>
      </c>
      <c r="Y22" s="49">
        <v>0.428225343843609</v>
      </c>
      <c r="Z22" s="49">
        <v>0.47262807101807403</v>
      </c>
      <c r="AA22" s="49">
        <v>0.46769052825038299</v>
      </c>
      <c r="AB22" s="49">
        <v>0.72988505747126398</v>
      </c>
      <c r="AC22" s="49">
        <v>0.97058823529411797</v>
      </c>
      <c r="AD22" s="49">
        <v>1</v>
      </c>
      <c r="AE22" s="49">
        <v>0.74702380952380898</v>
      </c>
      <c r="AF22" s="49">
        <v>0.71212121212121204</v>
      </c>
      <c r="AG22" s="49">
        <v>0.68560606060606</v>
      </c>
      <c r="AH22" s="49">
        <v>0.83695652173913104</v>
      </c>
      <c r="AI22" s="49">
        <v>0.844444444444444</v>
      </c>
      <c r="AJ22" s="49">
        <v>0.41355540889157399</v>
      </c>
      <c r="AK22" s="49">
        <v>0.45519078541489499</v>
      </c>
      <c r="AL22" s="49">
        <v>0.46153846153846201</v>
      </c>
      <c r="AM22" s="49">
        <v>0.424421554645665</v>
      </c>
      <c r="AN22" s="49">
        <v>0.86828106818940198</v>
      </c>
      <c r="AO22" s="49">
        <v>0.60969914706130801</v>
      </c>
      <c r="AP22" s="49">
        <v>0.66435684191998801</v>
      </c>
      <c r="AQ22" s="49">
        <v>0.66312286354974004</v>
      </c>
      <c r="AR22" s="49">
        <v>0.37692307692307703</v>
      </c>
      <c r="AS22" s="49">
        <v>0.43076923076923102</v>
      </c>
      <c r="AT22" s="49">
        <v>0.46153846153846201</v>
      </c>
      <c r="AU22" s="49">
        <v>0.4</v>
      </c>
      <c r="AV22" s="49">
        <v>0.69981684981685</v>
      </c>
      <c r="AW22" s="49">
        <v>0.55702075702075704</v>
      </c>
      <c r="AX22" s="49">
        <v>0.62362637362637396</v>
      </c>
      <c r="AY22" s="49">
        <v>0.61660561660561697</v>
      </c>
      <c r="AZ22" s="49">
        <v>1.7586206896551699</v>
      </c>
      <c r="BA22" s="49">
        <v>1.0588235294117601</v>
      </c>
      <c r="BB22" s="49">
        <v>1</v>
      </c>
      <c r="BC22" s="49">
        <v>1.6785714285714299</v>
      </c>
      <c r="BD22" s="49">
        <v>1.6666666666666701</v>
      </c>
      <c r="BE22" s="49">
        <v>1.87878787878788</v>
      </c>
      <c r="BF22" s="49">
        <v>1.3260869565217399</v>
      </c>
      <c r="BG22" s="49">
        <v>1.31111111111111</v>
      </c>
      <c r="BH22" s="49">
        <v>43.361188451332801</v>
      </c>
      <c r="BI22" s="49">
        <v>17.4397415796453</v>
      </c>
      <c r="BJ22" s="49">
        <v>6.7026100473326</v>
      </c>
      <c r="BK22" s="49">
        <v>3.0827028453737499</v>
      </c>
      <c r="BL22" s="49">
        <v>205.888209296284</v>
      </c>
      <c r="BM22" s="49">
        <v>40.175065697713997</v>
      </c>
      <c r="BN22" s="49">
        <v>14.4245938304259</v>
      </c>
      <c r="BO22" s="49">
        <v>7.2008285734595301</v>
      </c>
      <c r="BP22" s="49">
        <v>3.9907972836975101</v>
      </c>
      <c r="BQ22" s="49">
        <v>214.646550424335</v>
      </c>
      <c r="BR22" s="49">
        <v>0.21060549605797901</v>
      </c>
      <c r="BS22" s="49">
        <v>8.47049067999259E-2</v>
      </c>
      <c r="BT22" s="49">
        <v>3.2554608494783699E-2</v>
      </c>
      <c r="BU22" s="49">
        <v>1.49727022052904E-2</v>
      </c>
      <c r="BV22" s="49">
        <v>0.18716846657117001</v>
      </c>
      <c r="BW22" s="49">
        <v>6.7201610284022398E-2</v>
      </c>
      <c r="BX22" s="49">
        <v>3.3547376182958499E-2</v>
      </c>
      <c r="BY22" s="49">
        <v>1.8592412856428899E-2</v>
      </c>
    </row>
    <row r="23" spans="1:77">
      <c r="A23" s="80">
        <v>22</v>
      </c>
      <c r="B23" s="49" t="s">
        <v>639</v>
      </c>
      <c r="C23" s="9">
        <v>3</v>
      </c>
      <c r="D23" s="49" t="s">
        <v>752</v>
      </c>
      <c r="E23" s="30" t="s">
        <v>753</v>
      </c>
      <c r="F23" s="30">
        <v>66884006</v>
      </c>
      <c r="G23" s="75">
        <v>29.714285714285715</v>
      </c>
      <c r="H23" s="80">
        <v>38.571428571428569</v>
      </c>
      <c r="I23" s="77">
        <v>58.287292817679557</v>
      </c>
      <c r="J23" s="30">
        <v>14480</v>
      </c>
      <c r="K23" s="77">
        <v>58.287292817679557</v>
      </c>
      <c r="L23" s="49">
        <v>0.27315392199475003</v>
      </c>
      <c r="M23" s="49">
        <v>0.32829176049570202</v>
      </c>
      <c r="N23" s="49">
        <v>0.36133344911611698</v>
      </c>
      <c r="O23" s="49">
        <v>0.35271022415647202</v>
      </c>
      <c r="P23" s="49">
        <v>0.469649922782504</v>
      </c>
      <c r="Q23" s="49">
        <v>0.45572786001110699</v>
      </c>
      <c r="R23" s="49">
        <v>0.45581520354809701</v>
      </c>
      <c r="S23" s="49">
        <v>0.42782729182950602</v>
      </c>
      <c r="T23" s="49">
        <v>0.29093207010920102</v>
      </c>
      <c r="U23" s="49">
        <v>0.14053426465995</v>
      </c>
      <c r="V23" s="49">
        <v>0.110359456021554</v>
      </c>
      <c r="W23" s="49">
        <v>0.13960818050249801</v>
      </c>
      <c r="X23" s="49">
        <v>0.59568705505379305</v>
      </c>
      <c r="Y23" s="49">
        <v>0.47435687649897001</v>
      </c>
      <c r="Z23" s="49">
        <v>0.60951047772121103</v>
      </c>
      <c r="AA23" s="49">
        <v>0.57541300575810805</v>
      </c>
      <c r="AB23" s="49">
        <v>0.53035714285714297</v>
      </c>
      <c r="AC23" s="49">
        <v>0.45558608058608102</v>
      </c>
      <c r="AD23" s="49">
        <v>0.48504273504273498</v>
      </c>
      <c r="AE23" s="49">
        <v>0.48504273504273498</v>
      </c>
      <c r="AF23" s="49">
        <v>0.637820512820513</v>
      </c>
      <c r="AG23" s="49">
        <v>0.670940170940171</v>
      </c>
      <c r="AH23" s="49">
        <v>0.66346153846153799</v>
      </c>
      <c r="AI23" s="49">
        <v>0.66346153846153799</v>
      </c>
      <c r="AJ23" s="49">
        <v>0.39743589743589702</v>
      </c>
      <c r="AK23" s="49">
        <v>0.19230769230769201</v>
      </c>
      <c r="AL23" s="49">
        <v>0.145911558691696</v>
      </c>
      <c r="AM23" s="49">
        <v>0.19230769230769201</v>
      </c>
      <c r="AN23" s="49">
        <v>0.82564470994572103</v>
      </c>
      <c r="AO23" s="49">
        <v>0.68639896390731103</v>
      </c>
      <c r="AP23" s="49">
        <v>0.87868039058576797</v>
      </c>
      <c r="AQ23" s="49">
        <v>0.87868039058576797</v>
      </c>
      <c r="AR23" s="49">
        <v>0.39743589743589702</v>
      </c>
      <c r="AS23" s="49">
        <v>0.19230769230769201</v>
      </c>
      <c r="AT23" s="49">
        <v>0.115384615384615</v>
      </c>
      <c r="AU23" s="49">
        <v>0.19230769230769201</v>
      </c>
      <c r="AV23" s="49">
        <v>0.69871794871794901</v>
      </c>
      <c r="AW23" s="49">
        <v>0.49963369963370002</v>
      </c>
      <c r="AX23" s="49">
        <v>0.63772893772893802</v>
      </c>
      <c r="AY23" s="49">
        <v>0.63772893772893802</v>
      </c>
      <c r="AZ23" s="49">
        <v>2.6071428571428599</v>
      </c>
      <c r="BA23" s="49">
        <v>3.1410256410256401</v>
      </c>
      <c r="BB23" s="49">
        <v>2.6794871794871802</v>
      </c>
      <c r="BC23" s="49">
        <v>2.6794871794871802</v>
      </c>
      <c r="BD23" s="49">
        <v>2.02564102564103</v>
      </c>
      <c r="BE23" s="49">
        <v>1.7692307692307701</v>
      </c>
      <c r="BF23" s="49">
        <v>1.82051282051282</v>
      </c>
      <c r="BG23" s="49">
        <v>1.82051282051282</v>
      </c>
      <c r="BH23" s="49">
        <v>33.2791221461679</v>
      </c>
      <c r="BI23" s="49">
        <v>11.4381180945438</v>
      </c>
      <c r="BJ23" s="49">
        <v>4.1332815880162803</v>
      </c>
      <c r="BK23" s="49">
        <v>1.67792420062877</v>
      </c>
      <c r="BL23" s="49">
        <v>214.11612379032201</v>
      </c>
      <c r="BM23" s="49">
        <v>53.945396651684099</v>
      </c>
      <c r="BN23" s="49">
        <v>14.873960382094101</v>
      </c>
      <c r="BO23" s="49">
        <v>4.1801120087582602</v>
      </c>
      <c r="BP23" s="49">
        <v>1.9147642985045199</v>
      </c>
      <c r="BQ23" s="49">
        <v>249.496161065341</v>
      </c>
      <c r="BR23" s="49">
        <v>0.155425577285143</v>
      </c>
      <c r="BS23" s="49">
        <v>5.3420162349589302E-2</v>
      </c>
      <c r="BT23" s="49">
        <v>1.9303924967668001E-2</v>
      </c>
      <c r="BU23" s="49">
        <v>7.83651492902941E-3</v>
      </c>
      <c r="BV23" s="49">
        <v>0.216217341466654</v>
      </c>
      <c r="BW23" s="49">
        <v>5.9615988953829198E-2</v>
      </c>
      <c r="BX23" s="49">
        <v>1.6754213735831899E-2</v>
      </c>
      <c r="BY23" s="49">
        <v>7.6745240901845597E-3</v>
      </c>
    </row>
    <row r="24" spans="1:77">
      <c r="A24" s="80">
        <v>23</v>
      </c>
      <c r="B24" s="49" t="s">
        <v>639</v>
      </c>
      <c r="C24" s="9">
        <v>3</v>
      </c>
      <c r="D24" s="49" t="s">
        <v>754</v>
      </c>
      <c r="E24" s="30" t="s">
        <v>223</v>
      </c>
      <c r="F24" s="30">
        <v>66865300</v>
      </c>
      <c r="G24" s="75">
        <v>29.142857142857142</v>
      </c>
      <c r="H24" s="49">
        <v>35.142857142857153</v>
      </c>
      <c r="I24" s="77">
        <v>88.188976377952756</v>
      </c>
      <c r="J24" s="30">
        <v>13716</v>
      </c>
      <c r="K24" s="77">
        <v>88.188976377952756</v>
      </c>
      <c r="L24" s="49">
        <v>0.21996154161383599</v>
      </c>
      <c r="M24" s="49">
        <v>0.21132307014829099</v>
      </c>
      <c r="N24" s="49">
        <v>0.221776616765677</v>
      </c>
      <c r="O24" s="49">
        <v>0.21689972165068799</v>
      </c>
      <c r="P24" s="49">
        <v>0.47872888259222901</v>
      </c>
      <c r="Q24" s="49">
        <v>0.44218064499281701</v>
      </c>
      <c r="R24" s="49">
        <v>0.41036059901428101</v>
      </c>
      <c r="S24" s="49">
        <v>0.40812731600442698</v>
      </c>
      <c r="T24" s="49">
        <v>0.33866938727025903</v>
      </c>
      <c r="U24" s="49">
        <v>0.46932604362420199</v>
      </c>
      <c r="V24" s="49">
        <v>0.56751324964588801</v>
      </c>
      <c r="W24" s="49">
        <v>0.55407734624242799</v>
      </c>
      <c r="X24" s="49">
        <v>0.56340940251532601</v>
      </c>
      <c r="Y24" s="49">
        <v>0.51030212742418601</v>
      </c>
      <c r="Z24" s="49">
        <v>0.62880245803818102</v>
      </c>
      <c r="AA24" s="49">
        <v>0.61602736692489302</v>
      </c>
      <c r="AB24" s="49">
        <v>0.77777777777777801</v>
      </c>
      <c r="AC24" s="49">
        <v>0.78395061728395099</v>
      </c>
      <c r="AD24" s="49">
        <v>0.78395061728395099</v>
      </c>
      <c r="AE24" s="49">
        <v>0.78395061728395099</v>
      </c>
      <c r="AF24" s="49">
        <v>0.66987179487179505</v>
      </c>
      <c r="AG24" s="49">
        <v>0.64743589743589702</v>
      </c>
      <c r="AH24" s="49">
        <v>0.67095959595959598</v>
      </c>
      <c r="AI24" s="49">
        <v>0.69949494949494995</v>
      </c>
      <c r="AJ24" s="49">
        <v>0.40826567878860198</v>
      </c>
      <c r="AK24" s="49">
        <v>0.58986875031696995</v>
      </c>
      <c r="AL24" s="49">
        <v>0.68731152158801201</v>
      </c>
      <c r="AM24" s="49">
        <v>0.68731152158801201</v>
      </c>
      <c r="AN24" s="49">
        <v>0.76671264866257904</v>
      </c>
      <c r="AO24" s="49">
        <v>0.71486367605892898</v>
      </c>
      <c r="AP24" s="49">
        <v>0.840963302051836</v>
      </c>
      <c r="AQ24" s="49">
        <v>0.86606766056224604</v>
      </c>
      <c r="AR24" s="49">
        <v>0.35128205128205098</v>
      </c>
      <c r="AS24" s="49">
        <v>0.54102564102564099</v>
      </c>
      <c r="AT24" s="49">
        <v>0.57692307692307698</v>
      </c>
      <c r="AU24" s="49">
        <v>0.57692307692307698</v>
      </c>
      <c r="AV24" s="49">
        <v>0.61831501831501801</v>
      </c>
      <c r="AW24" s="49">
        <v>0.58461538461538498</v>
      </c>
      <c r="AX24" s="49">
        <v>0.722344322344323</v>
      </c>
      <c r="AY24" s="49">
        <v>0.66923076923076896</v>
      </c>
      <c r="AZ24" s="49">
        <v>1.5185185185185199</v>
      </c>
      <c r="BA24" s="49">
        <v>1.4814814814814801</v>
      </c>
      <c r="BB24" s="49">
        <v>1.4814814814814801</v>
      </c>
      <c r="BC24" s="49">
        <v>1.4814814814814801</v>
      </c>
      <c r="BD24" s="49">
        <v>1.7820512820512799</v>
      </c>
      <c r="BE24" s="49">
        <v>1.9358974358974399</v>
      </c>
      <c r="BF24" s="49">
        <v>1.98484848484848</v>
      </c>
      <c r="BG24" s="49">
        <v>1.75757575757576</v>
      </c>
      <c r="BH24" s="49">
        <v>57.146490792179002</v>
      </c>
      <c r="BI24" s="49">
        <v>30.8535336129728</v>
      </c>
      <c r="BJ24" s="49">
        <v>11.118985508973401</v>
      </c>
      <c r="BK24" s="49">
        <v>4.6394191529877098</v>
      </c>
      <c r="BL24" s="49">
        <v>246.33366872838701</v>
      </c>
      <c r="BM24" s="49">
        <v>89.192447023845205</v>
      </c>
      <c r="BN24" s="49">
        <v>41.2606602296582</v>
      </c>
      <c r="BO24" s="49">
        <v>14.628328051360199</v>
      </c>
      <c r="BP24" s="49">
        <v>6.3402265271772</v>
      </c>
      <c r="BQ24" s="49">
        <v>379.83041367504501</v>
      </c>
      <c r="BR24" s="49">
        <v>0.231988144727346</v>
      </c>
      <c r="BS24" s="49">
        <v>0.12525098080276101</v>
      </c>
      <c r="BT24" s="49">
        <v>4.5137904072843203E-2</v>
      </c>
      <c r="BU24" s="49">
        <v>1.8833881608377501E-2</v>
      </c>
      <c r="BV24" s="49">
        <v>0.23482176206182301</v>
      </c>
      <c r="BW24" s="49">
        <v>0.108629163816665</v>
      </c>
      <c r="BX24" s="49">
        <v>3.85127876144091E-2</v>
      </c>
      <c r="BY24" s="49">
        <v>1.6692256067207499E-2</v>
      </c>
    </row>
    <row r="25" spans="1:77">
      <c r="A25" s="80">
        <v>24</v>
      </c>
      <c r="B25" s="49" t="s">
        <v>639</v>
      </c>
      <c r="C25" s="9">
        <v>3</v>
      </c>
      <c r="D25" s="49" t="s">
        <v>760</v>
      </c>
      <c r="E25" s="30" t="s">
        <v>761</v>
      </c>
      <c r="F25" s="30">
        <v>67186997</v>
      </c>
      <c r="G25" s="75">
        <v>30</v>
      </c>
      <c r="H25" s="80">
        <v>36.571428571428569</v>
      </c>
      <c r="I25" s="77">
        <v>81.481481481481481</v>
      </c>
      <c r="J25" s="30">
        <v>14472</v>
      </c>
      <c r="K25" s="77">
        <v>81.481481481481481</v>
      </c>
      <c r="L25" s="49">
        <v>0.29268441302424297</v>
      </c>
      <c r="M25" s="49">
        <v>0.32477171418648798</v>
      </c>
      <c r="N25" s="49">
        <v>0.25043732455809298</v>
      </c>
      <c r="O25" s="49">
        <v>0.26799105379232302</v>
      </c>
      <c r="P25" s="49">
        <v>0.49779463334680302</v>
      </c>
      <c r="Q25" s="49">
        <v>0.427767798357851</v>
      </c>
      <c r="R25" s="49">
        <v>0.42180486538330902</v>
      </c>
      <c r="S25" s="49">
        <v>0.42156085340010802</v>
      </c>
      <c r="T25" s="49">
        <v>0.44172829334076702</v>
      </c>
      <c r="U25" s="49">
        <v>0.24247034564803099</v>
      </c>
      <c r="V25" s="49">
        <v>0.39411505589309298</v>
      </c>
      <c r="W25" s="49">
        <v>0.36691802225431802</v>
      </c>
      <c r="X25" s="49">
        <v>0.67713233659473004</v>
      </c>
      <c r="Y25" s="49">
        <v>0.60582184505672099</v>
      </c>
      <c r="Z25" s="49">
        <v>0.60720419711329698</v>
      </c>
      <c r="AA25" s="49">
        <v>0.58899208138304104</v>
      </c>
      <c r="AB25" s="49">
        <v>0.54727272727272802</v>
      </c>
      <c r="AC25" s="49">
        <v>0.53787878787878796</v>
      </c>
      <c r="AD25" s="49">
        <v>0.60507246376811596</v>
      </c>
      <c r="AE25" s="49">
        <v>0.55787878787878797</v>
      </c>
      <c r="AF25" s="49">
        <v>0.72979797979798</v>
      </c>
      <c r="AG25" s="49">
        <v>0.72474747474747503</v>
      </c>
      <c r="AH25" s="49">
        <v>0.72222222222222199</v>
      </c>
      <c r="AI25" s="49">
        <v>0.72979797979798</v>
      </c>
      <c r="AJ25" s="49">
        <v>0.58180899458913204</v>
      </c>
      <c r="AK25" s="49">
        <v>0.32804360323036202</v>
      </c>
      <c r="AL25" s="49">
        <v>0.55385302768129796</v>
      </c>
      <c r="AM25" s="49">
        <v>0.53386918017877505</v>
      </c>
      <c r="AN25" s="49">
        <v>0.83395666535464796</v>
      </c>
      <c r="AO25" s="49">
        <v>0.86640685137279105</v>
      </c>
      <c r="AP25" s="49">
        <v>0.87526624022025501</v>
      </c>
      <c r="AQ25" s="49">
        <v>0.85944716641387597</v>
      </c>
      <c r="AR25" s="49">
        <v>0.55128205128205099</v>
      </c>
      <c r="AS25" s="49">
        <v>0.30769230769230799</v>
      </c>
      <c r="AT25" s="49">
        <v>0.492307692307692</v>
      </c>
      <c r="AU25" s="49">
        <v>0.47435897435897401</v>
      </c>
      <c r="AV25" s="49">
        <v>0.65952380952380996</v>
      </c>
      <c r="AW25" s="49">
        <v>0.65915750915750904</v>
      </c>
      <c r="AX25" s="49">
        <v>0.70085470085470103</v>
      </c>
      <c r="AY25" s="49">
        <v>0.64047619047618998</v>
      </c>
      <c r="AZ25" s="49">
        <v>2.4363636363636401</v>
      </c>
      <c r="BA25" s="49">
        <v>2.3181818181818201</v>
      </c>
      <c r="BB25" s="49">
        <v>2.1304347826086998</v>
      </c>
      <c r="BC25" s="49">
        <v>2.3636363636363602</v>
      </c>
      <c r="BD25" s="49">
        <v>1.5606060606060601</v>
      </c>
      <c r="BE25" s="49">
        <v>1.5909090909090899</v>
      </c>
      <c r="BF25" s="49">
        <v>1.60606060606061</v>
      </c>
      <c r="BG25" s="49">
        <v>1.5606060606060601</v>
      </c>
      <c r="BH25" s="49">
        <v>36.085898577667798</v>
      </c>
      <c r="BI25" s="49">
        <v>11.223818673516099</v>
      </c>
      <c r="BJ25" s="49">
        <v>4.7650969302090704</v>
      </c>
      <c r="BK25" s="49">
        <v>2.3296734591513899</v>
      </c>
      <c r="BL25" s="49">
        <v>185.26242582605599</v>
      </c>
      <c r="BM25" s="49">
        <v>84.7586013769739</v>
      </c>
      <c r="BN25" s="49">
        <v>15.0313568473728</v>
      </c>
      <c r="BO25" s="49">
        <v>6.2866919351335202</v>
      </c>
      <c r="BP25" s="49">
        <v>4.3799380965868897</v>
      </c>
      <c r="BQ25" s="49">
        <v>383.02248245811199</v>
      </c>
      <c r="BR25" s="49">
        <v>0.19478260859840599</v>
      </c>
      <c r="BS25" s="49">
        <v>6.05833515537266E-2</v>
      </c>
      <c r="BT25" s="49">
        <v>2.5720795293283302E-2</v>
      </c>
      <c r="BU25" s="49">
        <v>1.2574991657178999E-2</v>
      </c>
      <c r="BV25" s="49">
        <v>0.221288841409572</v>
      </c>
      <c r="BW25" s="49">
        <v>3.9244058862828397E-2</v>
      </c>
      <c r="BX25" s="49">
        <v>1.64133757757184E-2</v>
      </c>
      <c r="BY25" s="49">
        <v>1.14351984470412E-2</v>
      </c>
    </row>
    <row r="26" spans="1:77">
      <c r="A26" s="80">
        <v>25</v>
      </c>
      <c r="B26" s="49" t="s">
        <v>639</v>
      </c>
      <c r="C26" s="9">
        <v>3</v>
      </c>
      <c r="D26" s="49" t="s">
        <v>762</v>
      </c>
      <c r="E26" s="30" t="s">
        <v>763</v>
      </c>
      <c r="F26" s="30">
        <v>67063798</v>
      </c>
      <c r="G26" s="75">
        <v>32</v>
      </c>
      <c r="H26" s="49">
        <v>35.857142857142847</v>
      </c>
      <c r="I26" s="77">
        <v>79.183135704874843</v>
      </c>
      <c r="J26" s="30">
        <v>6072</v>
      </c>
      <c r="K26" s="77">
        <v>79.183135704874843</v>
      </c>
      <c r="L26" s="49">
        <v>0.245217722811231</v>
      </c>
      <c r="M26" s="49">
        <v>0.30451384917984903</v>
      </c>
      <c r="N26" s="49">
        <v>0.30570147515517898</v>
      </c>
      <c r="O26" s="49">
        <v>0.27055904042124901</v>
      </c>
      <c r="P26" s="49">
        <v>0.39104034416469002</v>
      </c>
      <c r="Q26" s="49">
        <v>0.360765711116877</v>
      </c>
      <c r="R26" s="49">
        <v>0.37139782761090101</v>
      </c>
      <c r="S26" s="49">
        <v>0.35986042533087198</v>
      </c>
      <c r="T26" s="49">
        <v>0.41189205523824302</v>
      </c>
      <c r="U26" s="49">
        <v>0.34316717247843198</v>
      </c>
      <c r="V26" s="49">
        <v>0.342762854602845</v>
      </c>
      <c r="W26" s="49">
        <v>0.45086700658133899</v>
      </c>
      <c r="X26" s="49">
        <v>0.51298867579957097</v>
      </c>
      <c r="Y26" s="49">
        <v>0.542316907609942</v>
      </c>
      <c r="Z26" s="49">
        <v>0.543300393732144</v>
      </c>
      <c r="AA26" s="49">
        <v>0.52741184613470904</v>
      </c>
      <c r="AB26" s="49">
        <v>0.75555555555555598</v>
      </c>
      <c r="AC26" s="49">
        <v>0.625</v>
      </c>
      <c r="AD26" s="49">
        <v>0.625</v>
      </c>
      <c r="AE26" s="49">
        <v>0.69819819819819795</v>
      </c>
      <c r="AF26" s="49">
        <v>0.80555555555555602</v>
      </c>
      <c r="AG26" s="49">
        <v>0.83695652173913104</v>
      </c>
      <c r="AH26" s="49">
        <v>0.82291666666666696</v>
      </c>
      <c r="AI26" s="49">
        <v>0.82291666666666696</v>
      </c>
      <c r="AJ26" s="49">
        <v>0.48773032669517202</v>
      </c>
      <c r="AK26" s="49">
        <v>0.41356228272671802</v>
      </c>
      <c r="AL26" s="49">
        <v>0.41356228272671802</v>
      </c>
      <c r="AM26" s="49">
        <v>0.55616522177419703</v>
      </c>
      <c r="AN26" s="49">
        <v>0.63707015266244305</v>
      </c>
      <c r="AO26" s="49">
        <v>0.74216439956300595</v>
      </c>
      <c r="AP26" s="49">
        <v>0.74348741606297297</v>
      </c>
      <c r="AQ26" s="49">
        <v>0.74182492945918199</v>
      </c>
      <c r="AR26" s="49">
        <v>0.39743589743589702</v>
      </c>
      <c r="AS26" s="49">
        <v>0.31538461538461499</v>
      </c>
      <c r="AT26" s="49">
        <v>0.31538461538461499</v>
      </c>
      <c r="AU26" s="49">
        <v>0.44102564102564101</v>
      </c>
      <c r="AV26" s="49">
        <v>0.57252747252747305</v>
      </c>
      <c r="AW26" s="49">
        <v>0.64010989010988995</v>
      </c>
      <c r="AX26" s="49">
        <v>0.64444444444444504</v>
      </c>
      <c r="AY26" s="49">
        <v>0.63638583638583701</v>
      </c>
      <c r="AZ26" s="49">
        <v>1.5333333333333301</v>
      </c>
      <c r="BA26" s="49">
        <v>1.97826086956522</v>
      </c>
      <c r="BB26" s="49">
        <v>1.97826086956522</v>
      </c>
      <c r="BC26" s="49">
        <v>1.6756756756756801</v>
      </c>
      <c r="BD26" s="49">
        <v>1.4583333333333299</v>
      </c>
      <c r="BE26" s="49">
        <v>1.3260869565217399</v>
      </c>
      <c r="BF26" s="49">
        <v>1.3541666666666701</v>
      </c>
      <c r="BG26" s="49">
        <v>1.3541666666666701</v>
      </c>
      <c r="BH26" s="49">
        <v>53.507619074257398</v>
      </c>
      <c r="BI26" s="49">
        <v>15.4403288040477</v>
      </c>
      <c r="BJ26" s="49">
        <v>5.8251071164703001</v>
      </c>
      <c r="BK26" s="49">
        <v>2.75792568604014</v>
      </c>
      <c r="BL26" s="49">
        <v>252.127583175588</v>
      </c>
      <c r="BM26" s="49">
        <v>57.761580605389298</v>
      </c>
      <c r="BN26" s="49">
        <v>18.768210748521899</v>
      </c>
      <c r="BO26" s="49">
        <v>7.17127617045346</v>
      </c>
      <c r="BP26" s="49">
        <v>4.0155775848388098</v>
      </c>
      <c r="BQ26" s="49">
        <v>332.49012754264101</v>
      </c>
      <c r="BR26" s="49">
        <v>0.212224376247614</v>
      </c>
      <c r="BS26" s="49">
        <v>6.1240141239503498E-2</v>
      </c>
      <c r="BT26" s="49">
        <v>2.3103807378399999E-2</v>
      </c>
      <c r="BU26" s="49">
        <v>1.0938611520816601E-2</v>
      </c>
      <c r="BV26" s="49">
        <v>0.17372419756427701</v>
      </c>
      <c r="BW26" s="49">
        <v>5.6447422626450701E-2</v>
      </c>
      <c r="BX26" s="49">
        <v>2.15683882810438E-2</v>
      </c>
      <c r="BY26" s="49">
        <v>1.2077283661073E-2</v>
      </c>
    </row>
    <row r="27" spans="1:77">
      <c r="A27" s="80">
        <v>26</v>
      </c>
      <c r="B27" s="49" t="s">
        <v>639</v>
      </c>
      <c r="C27" s="9">
        <v>3</v>
      </c>
      <c r="D27" s="49" t="s">
        <v>764</v>
      </c>
      <c r="E27" s="30" t="s">
        <v>765</v>
      </c>
      <c r="F27" s="30">
        <v>67102262</v>
      </c>
      <c r="G27" s="75">
        <v>29.571428571428573</v>
      </c>
      <c r="H27" s="80">
        <v>35.571428571428569</v>
      </c>
      <c r="I27" s="77">
        <v>89.542827115081451</v>
      </c>
      <c r="J27" s="30">
        <v>15224</v>
      </c>
      <c r="K27" s="77">
        <v>89.542827115081451</v>
      </c>
      <c r="L27" s="49">
        <v>0.247981701082304</v>
      </c>
      <c r="M27" s="49">
        <v>0.181788535377406</v>
      </c>
      <c r="N27" s="49">
        <v>0.227670350714161</v>
      </c>
      <c r="O27" s="49">
        <v>0.214148397831462</v>
      </c>
      <c r="P27" s="49">
        <v>0.37701129634185498</v>
      </c>
      <c r="Q27" s="49">
        <v>0.36671220669428101</v>
      </c>
      <c r="R27" s="49">
        <v>0.368988884456114</v>
      </c>
      <c r="S27" s="49">
        <v>0.42436158525552597</v>
      </c>
      <c r="T27" s="49">
        <v>0.336044098469307</v>
      </c>
      <c r="U27" s="49">
        <v>0.299115814134575</v>
      </c>
      <c r="V27" s="49">
        <v>0.27321529615879703</v>
      </c>
      <c r="W27" s="49">
        <v>0.262248574405891</v>
      </c>
      <c r="X27" s="49">
        <v>0.58178222617213904</v>
      </c>
      <c r="Y27" s="49">
        <v>0.47888021225767102</v>
      </c>
      <c r="Z27" s="49">
        <v>0.47876526104522299</v>
      </c>
      <c r="AA27" s="49">
        <v>0.458448395694385</v>
      </c>
      <c r="AB27" s="49">
        <v>0.68468468468468502</v>
      </c>
      <c r="AC27" s="49">
        <v>0.81944444444444398</v>
      </c>
      <c r="AD27" s="49">
        <v>0.65877192982456201</v>
      </c>
      <c r="AE27" s="49">
        <v>0.66306306306306295</v>
      </c>
      <c r="AF27" s="49">
        <v>0.844444444444444</v>
      </c>
      <c r="AG27" s="49">
        <v>0.76190476190476197</v>
      </c>
      <c r="AH27" s="49">
        <v>0.77083333333333304</v>
      </c>
      <c r="AI27" s="49">
        <v>0.66239316239316204</v>
      </c>
      <c r="AJ27" s="49">
        <v>0.43232457713519201</v>
      </c>
      <c r="AK27" s="49">
        <v>0.40826567878860198</v>
      </c>
      <c r="AL27" s="49">
        <v>0.37672460762219101</v>
      </c>
      <c r="AM27" s="49">
        <v>0.37855439403996599</v>
      </c>
      <c r="AN27" s="49">
        <v>0.75186223808511998</v>
      </c>
      <c r="AO27" s="49">
        <v>0.72197812075890699</v>
      </c>
      <c r="AP27" s="49">
        <v>0.72246733831224297</v>
      </c>
      <c r="AQ27" s="49">
        <v>0.70752633389601804</v>
      </c>
      <c r="AR27" s="49">
        <v>0.34871794871794898</v>
      </c>
      <c r="AS27" s="49">
        <v>0.35128205128205098</v>
      </c>
      <c r="AT27" s="49">
        <v>0.32051282051282098</v>
      </c>
      <c r="AU27" s="49">
        <v>0.32564102564102598</v>
      </c>
      <c r="AV27" s="49">
        <v>0.68711843711843701</v>
      </c>
      <c r="AW27" s="49">
        <v>0.62307692307692297</v>
      </c>
      <c r="AX27" s="49">
        <v>0.61965811965812001</v>
      </c>
      <c r="AY27" s="49">
        <v>0.60012210012209999</v>
      </c>
      <c r="AZ27" s="49">
        <v>1.7567567567567599</v>
      </c>
      <c r="BA27" s="49">
        <v>1.4166666666666701</v>
      </c>
      <c r="BB27" s="49">
        <v>1.9473684210526301</v>
      </c>
      <c r="BC27" s="49">
        <v>1.9459459459459501</v>
      </c>
      <c r="BD27" s="49">
        <v>1.31111111111111</v>
      </c>
      <c r="BE27" s="49">
        <v>1.53571428571429</v>
      </c>
      <c r="BF27" s="49">
        <v>1.4821428571428601</v>
      </c>
      <c r="BG27" s="49">
        <v>1.8333333333333299</v>
      </c>
      <c r="BH27" s="49">
        <v>42.207971640624201</v>
      </c>
      <c r="BI27" s="49">
        <v>10.787870569401999</v>
      </c>
      <c r="BJ27" s="49">
        <v>3.0746660865396702</v>
      </c>
      <c r="BK27" s="49">
        <v>1.0717222026366999</v>
      </c>
      <c r="BL27" s="49">
        <v>136.728304170462</v>
      </c>
      <c r="BM27" s="49">
        <v>23.291662504441401</v>
      </c>
      <c r="BN27" s="49">
        <v>5.4604824620704404</v>
      </c>
      <c r="BO27" s="49">
        <v>2.0862232839008601</v>
      </c>
      <c r="BP27" s="49">
        <v>1.0066603250808399</v>
      </c>
      <c r="BQ27" s="49">
        <v>172.14173901968999</v>
      </c>
      <c r="BR27" s="49">
        <v>0.30869959147597198</v>
      </c>
      <c r="BS27" s="49">
        <v>7.8900053905097203E-2</v>
      </c>
      <c r="BT27" s="49">
        <v>2.2487414768974399E-2</v>
      </c>
      <c r="BU27" s="49">
        <v>7.8383346384561601E-3</v>
      </c>
      <c r="BV27" s="49">
        <v>0.135305142361651</v>
      </c>
      <c r="BW27" s="49">
        <v>3.1720851044997597E-2</v>
      </c>
      <c r="BX27" s="49">
        <v>1.2119218126768401E-2</v>
      </c>
      <c r="BY27" s="49">
        <v>5.84785729953441E-3</v>
      </c>
    </row>
    <row r="28" spans="1:77">
      <c r="A28" s="80">
        <v>27</v>
      </c>
      <c r="B28" s="49" t="s">
        <v>639</v>
      </c>
      <c r="C28" s="9">
        <v>3</v>
      </c>
      <c r="D28" s="49" t="s">
        <v>773</v>
      </c>
      <c r="E28" s="30" t="s">
        <v>774</v>
      </c>
      <c r="F28" s="30">
        <v>67093820</v>
      </c>
      <c r="G28" s="75">
        <v>30.428571428571427</v>
      </c>
      <c r="H28" s="80">
        <v>36.142857142857153</v>
      </c>
      <c r="I28" s="77">
        <v>87.967914438502675</v>
      </c>
      <c r="J28" s="30">
        <v>11968</v>
      </c>
      <c r="K28" s="77">
        <v>87.967914438502675</v>
      </c>
      <c r="L28" s="49">
        <v>0.210876756146269</v>
      </c>
      <c r="M28" s="49">
        <v>0.22035796733807</v>
      </c>
      <c r="N28" s="49">
        <v>0.232790620069452</v>
      </c>
      <c r="O28" s="49">
        <v>0.22864752506994801</v>
      </c>
      <c r="P28" s="49">
        <v>0.33141848655109701</v>
      </c>
      <c r="Q28" s="49">
        <v>0.36898389048570901</v>
      </c>
      <c r="R28" s="49">
        <v>0.29242237218892198</v>
      </c>
      <c r="S28" s="49">
        <v>0.28406644530137298</v>
      </c>
      <c r="T28" s="49">
        <v>0.54310581878339204</v>
      </c>
      <c r="U28" s="49">
        <v>0.55129224045273295</v>
      </c>
      <c r="V28" s="49">
        <v>0.62936476593508195</v>
      </c>
      <c r="W28" s="49">
        <v>0.37194850919093098</v>
      </c>
      <c r="X28" s="49">
        <v>0.65253916305354198</v>
      </c>
      <c r="Y28" s="49">
        <v>0.50225863916393299</v>
      </c>
      <c r="Z28" s="49">
        <v>0.62021880439391497</v>
      </c>
      <c r="AA28" s="49">
        <v>0.54172286388992497</v>
      </c>
      <c r="AB28" s="49">
        <v>0.74444444444444402</v>
      </c>
      <c r="AC28" s="49">
        <v>0.728494623655914</v>
      </c>
      <c r="AD28" s="49">
        <v>0.73655913978494603</v>
      </c>
      <c r="AE28" s="49">
        <v>0.74193548387096797</v>
      </c>
      <c r="AF28" s="49">
        <v>0.81944444444444497</v>
      </c>
      <c r="AG28" s="49">
        <v>0.70202020202020199</v>
      </c>
      <c r="AH28" s="49">
        <v>0.95588235294117696</v>
      </c>
      <c r="AI28" s="49">
        <v>0.95588235294117696</v>
      </c>
      <c r="AJ28" s="49">
        <v>0.70435694465575804</v>
      </c>
      <c r="AK28" s="49">
        <v>0.70149049879804304</v>
      </c>
      <c r="AL28" s="49">
        <v>0.78364507491731805</v>
      </c>
      <c r="AM28" s="49">
        <v>0.48157300103739298</v>
      </c>
      <c r="AN28" s="49">
        <v>0.96328960179812795</v>
      </c>
      <c r="AO28" s="49">
        <v>0.78760229696459705</v>
      </c>
      <c r="AP28" s="49">
        <v>0.90494070558102002</v>
      </c>
      <c r="AQ28" s="49">
        <v>0.79033774049781902</v>
      </c>
      <c r="AR28" s="49">
        <v>0.67179487179487196</v>
      </c>
      <c r="AS28" s="49">
        <v>0.60256410256410298</v>
      </c>
      <c r="AT28" s="49">
        <v>0.72820512820512795</v>
      </c>
      <c r="AU28" s="49">
        <v>0.39230769230769202</v>
      </c>
      <c r="AV28" s="49">
        <v>0.82472527472527501</v>
      </c>
      <c r="AW28" s="49">
        <v>0.72087912087912098</v>
      </c>
      <c r="AX28" s="49">
        <v>0.83516483516483497</v>
      </c>
      <c r="AY28" s="49">
        <v>0.77289377289377303</v>
      </c>
      <c r="AZ28" s="49">
        <v>1.6</v>
      </c>
      <c r="BA28" s="49">
        <v>1.67741935483871</v>
      </c>
      <c r="BB28" s="49">
        <v>1.61290322580645</v>
      </c>
      <c r="BC28" s="49">
        <v>1.5806451612903201</v>
      </c>
      <c r="BD28" s="49">
        <v>1.375</v>
      </c>
      <c r="BE28" s="49">
        <v>1.72727272727273</v>
      </c>
      <c r="BF28" s="49">
        <v>1.0882352941176501</v>
      </c>
      <c r="BG28" s="49">
        <v>1.0882352941176501</v>
      </c>
      <c r="BH28" s="49">
        <v>39.836240225587296</v>
      </c>
      <c r="BI28" s="49">
        <v>14.150482752907701</v>
      </c>
      <c r="BJ28" s="49">
        <v>5.7086603198354204</v>
      </c>
      <c r="BK28" s="49">
        <v>2.6913902304769799</v>
      </c>
      <c r="BL28" s="49">
        <v>181.998733791414</v>
      </c>
      <c r="BM28" s="49">
        <v>81.666296054271498</v>
      </c>
      <c r="BN28" s="49">
        <v>24.5494503169657</v>
      </c>
      <c r="BO28" s="49">
        <v>8.0392543759614892</v>
      </c>
      <c r="BP28" s="49">
        <v>4.5801650308533199</v>
      </c>
      <c r="BQ28" s="49">
        <v>415.27281204720799</v>
      </c>
      <c r="BR28" s="49">
        <v>0.218881963603346</v>
      </c>
      <c r="BS28" s="49">
        <v>7.7750446160385706E-2</v>
      </c>
      <c r="BT28" s="49">
        <v>3.1366483716189102E-2</v>
      </c>
      <c r="BU28" s="49">
        <v>1.4787961291871101E-2</v>
      </c>
      <c r="BV28" s="49">
        <v>0.19665697749793401</v>
      </c>
      <c r="BW28" s="49">
        <v>5.9116440096191297E-2</v>
      </c>
      <c r="BX28" s="49">
        <v>1.9358971121489099E-2</v>
      </c>
      <c r="BY28" s="49">
        <v>1.10292918245094E-2</v>
      </c>
    </row>
    <row r="29" spans="1:77">
      <c r="A29" s="80">
        <v>28</v>
      </c>
      <c r="B29" s="49" t="s">
        <v>639</v>
      </c>
      <c r="C29" s="9">
        <v>3</v>
      </c>
      <c r="D29" s="49" t="s">
        <v>775</v>
      </c>
      <c r="E29" s="30" t="s">
        <v>776</v>
      </c>
      <c r="F29" s="30">
        <v>67122126</v>
      </c>
      <c r="G29" s="75">
        <v>32.285714285714285</v>
      </c>
      <c r="H29" s="80">
        <v>37.428571428571431</v>
      </c>
      <c r="I29" s="77">
        <v>96.390559925960204</v>
      </c>
      <c r="J29" s="30">
        <v>8644</v>
      </c>
      <c r="K29" s="77">
        <v>96.390559925960204</v>
      </c>
      <c r="L29" s="49">
        <v>0.27441842440526198</v>
      </c>
      <c r="M29" s="49">
        <v>0.30236028064947801</v>
      </c>
      <c r="N29" s="49">
        <v>0.29241468086695199</v>
      </c>
      <c r="O29" s="49">
        <v>0.28130013918812202</v>
      </c>
      <c r="P29" s="49">
        <v>0.434088589746563</v>
      </c>
      <c r="Q29" s="49">
        <v>0.38673324895271899</v>
      </c>
      <c r="R29" s="49">
        <v>0.39331875283489298</v>
      </c>
      <c r="S29" s="49">
        <v>0.39282479542684801</v>
      </c>
      <c r="T29" s="49">
        <v>0.49022561236288098</v>
      </c>
      <c r="U29" s="49">
        <v>0.34937169909430799</v>
      </c>
      <c r="V29" s="49">
        <v>0.34067789004521398</v>
      </c>
      <c r="W29" s="49">
        <v>0.32754746498831799</v>
      </c>
      <c r="X29" s="49">
        <v>0.61472136255116006</v>
      </c>
      <c r="Y29" s="49">
        <v>0.47043896507288802</v>
      </c>
      <c r="Z29" s="49">
        <v>0.55098827872276102</v>
      </c>
      <c r="AA29" s="49">
        <v>0.450297394580079</v>
      </c>
      <c r="AB29" s="49">
        <v>0.52393939393939404</v>
      </c>
      <c r="AC29" s="49">
        <v>0.50757575757575801</v>
      </c>
      <c r="AD29" s="49">
        <v>0.50757575757575801</v>
      </c>
      <c r="AE29" s="49">
        <v>0.50757575757575801</v>
      </c>
      <c r="AF29" s="49">
        <v>0.71969696969696995</v>
      </c>
      <c r="AG29" s="49">
        <v>0.71969696969696995</v>
      </c>
      <c r="AH29" s="49">
        <v>0.67735042735042705</v>
      </c>
      <c r="AI29" s="49">
        <v>0.68162393162393198</v>
      </c>
      <c r="AJ29" s="49">
        <v>0.64253113249392801</v>
      </c>
      <c r="AK29" s="49">
        <v>0.48284440902911702</v>
      </c>
      <c r="AL29" s="49">
        <v>0.48284440902911702</v>
      </c>
      <c r="AM29" s="49">
        <v>0.48284440902911702</v>
      </c>
      <c r="AN29" s="49">
        <v>0.86147959041894795</v>
      </c>
      <c r="AO29" s="49">
        <v>0.72997105143444596</v>
      </c>
      <c r="AP29" s="49">
        <v>0.92944135687025697</v>
      </c>
      <c r="AQ29" s="49">
        <v>0.77051172895250797</v>
      </c>
      <c r="AR29" s="49">
        <v>0.512820512820513</v>
      </c>
      <c r="AS29" s="49">
        <v>0.42307692307692302</v>
      </c>
      <c r="AT29" s="49">
        <v>0.42307692307692302</v>
      </c>
      <c r="AU29" s="49">
        <v>0.42307692307692302</v>
      </c>
      <c r="AV29" s="49">
        <v>0.64450549450549399</v>
      </c>
      <c r="AW29" s="49">
        <v>0.60299145299145296</v>
      </c>
      <c r="AX29" s="49">
        <v>0.83064713064713103</v>
      </c>
      <c r="AY29" s="49">
        <v>0.69572649572649603</v>
      </c>
      <c r="AZ29" s="49">
        <v>2.78181818181818</v>
      </c>
      <c r="BA29" s="49">
        <v>2.6969696969696999</v>
      </c>
      <c r="BB29" s="49">
        <v>2.6969696969696999</v>
      </c>
      <c r="BC29" s="49">
        <v>2.6969696969696999</v>
      </c>
      <c r="BD29" s="49">
        <v>1.62121212121212</v>
      </c>
      <c r="BE29" s="49">
        <v>1.62121212121212</v>
      </c>
      <c r="BF29" s="49">
        <v>1.7307692307692299</v>
      </c>
      <c r="BG29" s="49">
        <v>1.70512820512821</v>
      </c>
      <c r="BH29" s="49">
        <v>36.500168709703402</v>
      </c>
      <c r="BI29" s="49">
        <v>8.1812016801560397</v>
      </c>
      <c r="BJ29" s="49">
        <v>2.9220596035093598</v>
      </c>
      <c r="BK29" s="49">
        <v>1.79720205953423</v>
      </c>
      <c r="BL29" s="49">
        <v>187.15324494126301</v>
      </c>
      <c r="BM29" s="49">
        <v>56.337745085956897</v>
      </c>
      <c r="BN29" s="49">
        <v>8.9531991168706906</v>
      </c>
      <c r="BO29" s="49">
        <v>3.5011389711290799</v>
      </c>
      <c r="BP29" s="49">
        <v>2.6105077598916</v>
      </c>
      <c r="BQ29" s="49">
        <v>235.141113802533</v>
      </c>
      <c r="BR29" s="49">
        <v>0.19502824394606999</v>
      </c>
      <c r="BS29" s="49">
        <v>4.3713918413349699E-2</v>
      </c>
      <c r="BT29" s="49">
        <v>1.56131923035928E-2</v>
      </c>
      <c r="BU29" s="49">
        <v>9.60283675604056E-3</v>
      </c>
      <c r="BV29" s="49">
        <v>0.23959121471742401</v>
      </c>
      <c r="BW29" s="49">
        <v>3.8075855693995797E-2</v>
      </c>
      <c r="BX29" s="49">
        <v>1.4889522782771499E-2</v>
      </c>
      <c r="BY29" s="49">
        <v>1.11018771565565E-2</v>
      </c>
    </row>
    <row r="30" spans="1:77">
      <c r="A30" s="80">
        <v>29</v>
      </c>
      <c r="B30" s="49" t="s">
        <v>639</v>
      </c>
      <c r="C30" s="9">
        <v>3</v>
      </c>
      <c r="D30" s="49" t="s">
        <v>777</v>
      </c>
      <c r="E30" s="30" t="s">
        <v>778</v>
      </c>
      <c r="F30" s="30">
        <v>67122128</v>
      </c>
      <c r="G30" s="75">
        <v>32.285714285714285</v>
      </c>
      <c r="H30" s="80">
        <v>37.857142857142847</v>
      </c>
      <c r="I30" s="77">
        <v>52.007648183556412</v>
      </c>
      <c r="J30" s="30">
        <v>6276</v>
      </c>
      <c r="K30" s="77">
        <v>52.007648183556412</v>
      </c>
      <c r="L30" s="49">
        <v>0.32566325822347802</v>
      </c>
      <c r="M30" s="49">
        <v>0.27811700228901298</v>
      </c>
      <c r="N30" s="49">
        <v>0.25781040677223399</v>
      </c>
      <c r="O30" s="49">
        <v>0.284661308547145</v>
      </c>
      <c r="P30" s="49">
        <v>0.47787081085491401</v>
      </c>
      <c r="Q30" s="49">
        <v>0.42728060769269899</v>
      </c>
      <c r="R30" s="49">
        <v>0.40074380819240901</v>
      </c>
      <c r="S30" s="49">
        <v>0.37775153094665198</v>
      </c>
      <c r="T30" s="49">
        <v>0.22452211299689701</v>
      </c>
      <c r="U30" s="49">
        <v>0.45941083713978398</v>
      </c>
      <c r="V30" s="49">
        <v>0.42197798704178002</v>
      </c>
      <c r="W30" s="49">
        <v>0.18630085355734</v>
      </c>
      <c r="X30" s="49">
        <v>0.54321126390409802</v>
      </c>
      <c r="Y30" s="49">
        <v>0.584583696381892</v>
      </c>
      <c r="Z30" s="49">
        <v>0.56955090711803003</v>
      </c>
      <c r="AA30" s="49">
        <v>0.54877900235826205</v>
      </c>
      <c r="AB30" s="49">
        <v>0.4628663003663</v>
      </c>
      <c r="AC30" s="49">
        <v>0.49116161616161602</v>
      </c>
      <c r="AD30" s="49">
        <v>0.49116161616161602</v>
      </c>
      <c r="AE30" s="49">
        <v>0.46648351648351699</v>
      </c>
      <c r="AF30" s="49">
        <v>0.68589743589743601</v>
      </c>
      <c r="AG30" s="49">
        <v>0.68589743589743601</v>
      </c>
      <c r="AH30" s="49">
        <v>0.670940170940171</v>
      </c>
      <c r="AI30" s="49">
        <v>0.66239316239316204</v>
      </c>
      <c r="AJ30" s="49">
        <v>0.30769230769230799</v>
      </c>
      <c r="AK30" s="49">
        <v>0.67155258433272202</v>
      </c>
      <c r="AL30" s="49">
        <v>0.67155258433272202</v>
      </c>
      <c r="AM30" s="49">
        <v>0.30769230769230799</v>
      </c>
      <c r="AN30" s="49">
        <v>0.77597983309427099</v>
      </c>
      <c r="AO30" s="49">
        <v>0.93490931344047301</v>
      </c>
      <c r="AP30" s="49">
        <v>0.94379212472704099</v>
      </c>
      <c r="AQ30" s="49">
        <v>0.94740873801663905</v>
      </c>
      <c r="AR30" s="49">
        <v>0.30769230769230799</v>
      </c>
      <c r="AS30" s="49">
        <v>0.64102564102564097</v>
      </c>
      <c r="AT30" s="49">
        <v>0.64102564102564097</v>
      </c>
      <c r="AU30" s="49">
        <v>0.30769230769230799</v>
      </c>
      <c r="AV30" s="49">
        <v>0.62557997557997602</v>
      </c>
      <c r="AW30" s="49">
        <v>0.71489621489621502</v>
      </c>
      <c r="AX30" s="49">
        <v>0.74737484737484805</v>
      </c>
      <c r="AY30" s="49">
        <v>0.76752136752136801</v>
      </c>
      <c r="AZ30" s="49">
        <v>3.12820512820513</v>
      </c>
      <c r="BA30" s="49">
        <v>2.89393939393939</v>
      </c>
      <c r="BB30" s="49">
        <v>2.89393939393939</v>
      </c>
      <c r="BC30" s="49">
        <v>3.0384615384615401</v>
      </c>
      <c r="BD30" s="49">
        <v>1.67948717948718</v>
      </c>
      <c r="BE30" s="49">
        <v>1.67948717948718</v>
      </c>
      <c r="BF30" s="49">
        <v>1.7692307692307701</v>
      </c>
      <c r="BG30" s="49">
        <v>1.8333333333333299</v>
      </c>
      <c r="BH30" s="49">
        <v>31.006709288228599</v>
      </c>
      <c r="BI30" s="49">
        <v>7.0371036250188501</v>
      </c>
      <c r="BJ30" s="49">
        <v>3.1026266648872198</v>
      </c>
      <c r="BK30" s="49">
        <v>1.8621944367763501</v>
      </c>
      <c r="BL30" s="49">
        <v>138.48935839823599</v>
      </c>
      <c r="BM30" s="49">
        <v>37.541280694323603</v>
      </c>
      <c r="BN30" s="49">
        <v>7.5255654839804897</v>
      </c>
      <c r="BO30" s="49">
        <v>2.9219291530248701</v>
      </c>
      <c r="BP30" s="49">
        <v>2.22120413197755</v>
      </c>
      <c r="BQ30" s="49">
        <v>164.47794730073699</v>
      </c>
      <c r="BR30" s="49">
        <v>0.22389236001127599</v>
      </c>
      <c r="BS30" s="49">
        <v>5.0813316679416902E-2</v>
      </c>
      <c r="BT30" s="49">
        <v>2.2403357924190799E-2</v>
      </c>
      <c r="BU30" s="49">
        <v>1.34464803528187E-2</v>
      </c>
      <c r="BV30" s="49">
        <v>0.228245070603184</v>
      </c>
      <c r="BW30" s="49">
        <v>4.5754252211212799E-2</v>
      </c>
      <c r="BX30" s="49">
        <v>1.7764868792302699E-2</v>
      </c>
      <c r="BY30" s="49">
        <v>1.35045710894982E-2</v>
      </c>
    </row>
    <row r="31" spans="1:77">
      <c r="A31" s="80">
        <v>30</v>
      </c>
      <c r="B31" s="49" t="s">
        <v>639</v>
      </c>
      <c r="C31" s="9">
        <v>3</v>
      </c>
      <c r="D31" s="49" t="s">
        <v>781</v>
      </c>
      <c r="E31" s="30" t="s">
        <v>782</v>
      </c>
      <c r="F31" s="30">
        <v>67178597</v>
      </c>
      <c r="G31" s="75">
        <v>33.571428571428569</v>
      </c>
      <c r="H31" s="80">
        <v>39.142857142857153</v>
      </c>
      <c r="I31" s="77">
        <v>68.114754098360649</v>
      </c>
      <c r="J31" s="30">
        <v>9760</v>
      </c>
      <c r="K31" s="77">
        <v>68.114754098360649</v>
      </c>
      <c r="L31" s="49">
        <v>0.26680605453866901</v>
      </c>
      <c r="M31" s="49">
        <v>0.27154539947281597</v>
      </c>
      <c r="N31" s="49">
        <v>0.25996930838333798</v>
      </c>
      <c r="O31" s="49">
        <v>0.25564584930384399</v>
      </c>
      <c r="P31" s="49">
        <v>0.404047955382559</v>
      </c>
      <c r="Q31" s="49">
        <v>0.45147730746843701</v>
      </c>
      <c r="R31" s="49">
        <v>0.51389207595666797</v>
      </c>
      <c r="S31" s="49">
        <v>0.51089906118807304</v>
      </c>
      <c r="T31" s="49">
        <v>0.30041951817086698</v>
      </c>
      <c r="U31" s="49">
        <v>0.28130806170988998</v>
      </c>
      <c r="V31" s="49">
        <v>0.33895928917006402</v>
      </c>
      <c r="W31" s="49">
        <v>0.32716733027804101</v>
      </c>
      <c r="X31" s="49">
        <v>0.55275808652107705</v>
      </c>
      <c r="Y31" s="49">
        <v>0.45311086421947</v>
      </c>
      <c r="Z31" s="49">
        <v>0.50805866417836398</v>
      </c>
      <c r="AA31" s="49">
        <v>0.63502929036558997</v>
      </c>
      <c r="AB31" s="49">
        <v>0.69212962962962998</v>
      </c>
      <c r="AC31" s="49">
        <v>0.624074074074074</v>
      </c>
      <c r="AD31" s="49">
        <v>0.61481481481481504</v>
      </c>
      <c r="AE31" s="49">
        <v>0.61481481481481504</v>
      </c>
      <c r="AF31" s="49">
        <v>0.844444444444444</v>
      </c>
      <c r="AG31" s="49">
        <v>0.71085858585858597</v>
      </c>
      <c r="AH31" s="49">
        <v>0.67948717948717996</v>
      </c>
      <c r="AI31" s="49">
        <v>0.68162393162393198</v>
      </c>
      <c r="AJ31" s="49">
        <v>0.35820309850191201</v>
      </c>
      <c r="AK31" s="49">
        <v>0.36882695679385302</v>
      </c>
      <c r="AL31" s="49">
        <v>0.45164196040721599</v>
      </c>
      <c r="AM31" s="49">
        <v>0.45164196040721599</v>
      </c>
      <c r="AN31" s="49">
        <v>0.66916826938170704</v>
      </c>
      <c r="AO31" s="49">
        <v>0.60231969077306502</v>
      </c>
      <c r="AP31" s="49">
        <v>0.68013852929063801</v>
      </c>
      <c r="AQ31" s="49">
        <v>0.85150775679968005</v>
      </c>
      <c r="AR31" s="49">
        <v>0.32564102564102598</v>
      </c>
      <c r="AS31" s="49">
        <v>0.31794871794871798</v>
      </c>
      <c r="AT31" s="49">
        <v>0.36923076923076897</v>
      </c>
      <c r="AU31" s="49">
        <v>0.36923076923076897</v>
      </c>
      <c r="AV31" s="49">
        <v>0.64590964590964595</v>
      </c>
      <c r="AW31" s="49">
        <v>0.54383394383394401</v>
      </c>
      <c r="AX31" s="49">
        <v>0.57606837606837602</v>
      </c>
      <c r="AY31" s="49">
        <v>0.69450549450549504</v>
      </c>
      <c r="AZ31" s="49">
        <v>1.75</v>
      </c>
      <c r="BA31" s="49">
        <v>2</v>
      </c>
      <c r="BB31" s="49">
        <v>2.06666666666667</v>
      </c>
      <c r="BC31" s="49">
        <v>2.06666666666667</v>
      </c>
      <c r="BD31" s="49">
        <v>1.31111111111111</v>
      </c>
      <c r="BE31" s="49">
        <v>1.6818181818181801</v>
      </c>
      <c r="BF31" s="49">
        <v>1.7179487179487201</v>
      </c>
      <c r="BG31" s="49">
        <v>1.70512820512821</v>
      </c>
      <c r="BH31" s="49">
        <v>58.4413805007744</v>
      </c>
      <c r="BI31" s="49">
        <v>12.1813139944702</v>
      </c>
      <c r="BJ31" s="49">
        <v>4.22636589060623</v>
      </c>
      <c r="BK31" s="49">
        <v>2.09258683539983</v>
      </c>
      <c r="BL31" s="49">
        <v>281.06568197708401</v>
      </c>
      <c r="BM31" s="49">
        <v>65.943463927245801</v>
      </c>
      <c r="BN31" s="49">
        <v>19.457385331773299</v>
      </c>
      <c r="BO31" s="49">
        <v>7.28177128801652</v>
      </c>
      <c r="BP31" s="49">
        <v>4.1707671112143903</v>
      </c>
      <c r="BQ31" s="49">
        <v>290.82622835975002</v>
      </c>
      <c r="BR31" s="49">
        <v>0.207927841242245</v>
      </c>
      <c r="BS31" s="49">
        <v>4.33397414753161E-2</v>
      </c>
      <c r="BT31" s="49">
        <v>1.50369332210071E-2</v>
      </c>
      <c r="BU31" s="49">
        <v>7.4451879741421001E-3</v>
      </c>
      <c r="BV31" s="49">
        <v>0.22674524336805699</v>
      </c>
      <c r="BW31" s="49">
        <v>6.6903818962657902E-2</v>
      </c>
      <c r="BX31" s="49">
        <v>2.50382206896725E-2</v>
      </c>
      <c r="BY31" s="49">
        <v>1.4341096863021501E-2</v>
      </c>
    </row>
    <row r="32" spans="1:77" ht="28">
      <c r="A32" s="80">
        <v>31</v>
      </c>
      <c r="B32" s="49" t="s">
        <v>644</v>
      </c>
      <c r="C32" s="9">
        <v>2</v>
      </c>
      <c r="D32" s="49" t="s">
        <v>645</v>
      </c>
      <c r="E32" s="30" t="s">
        <v>87</v>
      </c>
      <c r="F32" s="30">
        <v>67201008</v>
      </c>
      <c r="G32" s="75">
        <v>32.142857142857146</v>
      </c>
      <c r="H32" s="49">
        <v>36.857142857142847</v>
      </c>
      <c r="I32" s="77">
        <v>8.3410138248847918</v>
      </c>
      <c r="J32" s="30">
        <v>8680</v>
      </c>
      <c r="K32" s="77">
        <v>8.3410138248847918</v>
      </c>
      <c r="L32" s="49">
        <v>0.27398956881165498</v>
      </c>
      <c r="M32" s="49">
        <v>0.30083885323729298</v>
      </c>
      <c r="N32" s="49">
        <v>0.25446586628103501</v>
      </c>
      <c r="O32" s="49">
        <v>0.243020857740947</v>
      </c>
      <c r="P32" s="49">
        <v>0.43125875600800501</v>
      </c>
      <c r="Q32" s="49">
        <v>0.39744487174999699</v>
      </c>
      <c r="R32" s="49">
        <v>0.39539809926290298</v>
      </c>
      <c r="S32" s="49">
        <v>0.38206968082332798</v>
      </c>
      <c r="T32" s="49">
        <v>0.224902522848554</v>
      </c>
      <c r="U32" s="49">
        <v>0.304047107295286</v>
      </c>
      <c r="V32" s="49">
        <v>0.41496405674107301</v>
      </c>
      <c r="W32" s="49">
        <v>0.33580910201337</v>
      </c>
      <c r="X32" s="49">
        <v>0.61600613681965299</v>
      </c>
      <c r="Y32" s="49">
        <v>0.56055700952204301</v>
      </c>
      <c r="Z32" s="49">
        <v>0.54854433235822397</v>
      </c>
      <c r="AA32" s="49">
        <v>0.54521443728378205</v>
      </c>
      <c r="AB32" s="49">
        <v>0.55030303030303096</v>
      </c>
      <c r="AC32" s="49">
        <v>0.51060606060606095</v>
      </c>
      <c r="AD32" s="49">
        <v>0.62962962962962998</v>
      </c>
      <c r="AE32" s="49">
        <v>0.59481481481481502</v>
      </c>
      <c r="AF32" s="49">
        <v>0.71464646464646497</v>
      </c>
      <c r="AG32" s="49">
        <v>0.71969696969696995</v>
      </c>
      <c r="AH32" s="49">
        <v>0.72222222222222199</v>
      </c>
      <c r="AI32" s="49">
        <v>0.71969696969696995</v>
      </c>
      <c r="AJ32" s="49">
        <v>0.30916209983442999</v>
      </c>
      <c r="AK32" s="49">
        <v>0.42796284074297802</v>
      </c>
      <c r="AL32" s="49">
        <v>0.59242619868378699</v>
      </c>
      <c r="AM32" s="49">
        <v>0.47546761237597701</v>
      </c>
      <c r="AN32" s="49">
        <v>0.85671740881703995</v>
      </c>
      <c r="AO32" s="49">
        <v>0.85311766226400698</v>
      </c>
      <c r="AP32" s="49">
        <v>0.847355917523679</v>
      </c>
      <c r="AQ32" s="49">
        <v>0.86349101543907403</v>
      </c>
      <c r="AR32" s="49">
        <v>0.235897435897436</v>
      </c>
      <c r="AS32" s="49">
        <v>0.39743589743589702</v>
      </c>
      <c r="AT32" s="49">
        <v>0.44102564102564101</v>
      </c>
      <c r="AU32" s="49">
        <v>0.39230769230769202</v>
      </c>
      <c r="AV32" s="49">
        <v>0.63443223443223395</v>
      </c>
      <c r="AW32" s="49">
        <v>0.60402930402930399</v>
      </c>
      <c r="AX32" s="49">
        <v>0.59084249084249096</v>
      </c>
      <c r="AY32" s="49">
        <v>0.66739926739926703</v>
      </c>
      <c r="AZ32" s="49">
        <v>2.4545454545454501</v>
      </c>
      <c r="BA32" s="49">
        <v>2.7121212121212102</v>
      </c>
      <c r="BB32" s="49">
        <v>1.9777777777777801</v>
      </c>
      <c r="BC32" s="49">
        <v>2.2888888888888901</v>
      </c>
      <c r="BD32" s="49">
        <v>1.65151515151515</v>
      </c>
      <c r="BE32" s="49">
        <v>1.62121212121212</v>
      </c>
      <c r="BF32" s="49">
        <v>1.60606060606061</v>
      </c>
      <c r="BG32" s="49">
        <v>1.62121212121212</v>
      </c>
      <c r="BH32" s="49">
        <v>41.879693991113399</v>
      </c>
      <c r="BI32" s="49">
        <v>18.520285382059502</v>
      </c>
      <c r="BJ32" s="49">
        <v>7.5226907643671597</v>
      </c>
      <c r="BK32" s="49">
        <v>4.0863283751787201</v>
      </c>
      <c r="BL32" s="49">
        <v>199.82994376575499</v>
      </c>
      <c r="BM32" s="49">
        <v>83.807809947281697</v>
      </c>
      <c r="BN32" s="49">
        <v>23.5813244135228</v>
      </c>
      <c r="BO32" s="49">
        <v>9.2067478216091096</v>
      </c>
      <c r="BP32" s="49">
        <v>5.7446438833210998</v>
      </c>
      <c r="BQ32" s="49">
        <v>350.382419678264</v>
      </c>
      <c r="BR32" s="49">
        <v>0.20957666905118999</v>
      </c>
      <c r="BS32" s="49">
        <v>9.2680231165802499E-2</v>
      </c>
      <c r="BT32" s="49">
        <v>3.76454630502496E-2</v>
      </c>
      <c r="BU32" s="49">
        <v>2.0449029300477699E-2</v>
      </c>
      <c r="BV32" s="49">
        <v>0.23918954045764501</v>
      </c>
      <c r="BW32" s="49">
        <v>6.7301676936805499E-2</v>
      </c>
      <c r="BX32" s="49">
        <v>2.6276283581987699E-2</v>
      </c>
      <c r="BY32" s="49">
        <v>1.6395354220671399E-2</v>
      </c>
    </row>
    <row r="33" spans="1:77">
      <c r="B33" s="49"/>
      <c r="C33" s="9"/>
      <c r="D33" s="49"/>
      <c r="E33" s="30"/>
      <c r="F33" s="30"/>
      <c r="G33" s="75"/>
      <c r="H33" s="49"/>
      <c r="I33" s="77"/>
      <c r="J33" s="30"/>
      <c r="K33" s="77"/>
      <c r="L33" s="49">
        <v>0.27398956881165498</v>
      </c>
      <c r="M33" s="49">
        <v>0.30083885323729298</v>
      </c>
      <c r="N33" s="49">
        <v>0.25446586628103501</v>
      </c>
      <c r="O33" s="49">
        <v>0.243020857740947</v>
      </c>
      <c r="P33" s="87">
        <v>0.31329588901046701</v>
      </c>
      <c r="Q33" s="87">
        <v>0.28006761399818703</v>
      </c>
      <c r="R33" s="87">
        <v>0.30266034816971399</v>
      </c>
      <c r="S33" s="87">
        <v>0.275493600908507</v>
      </c>
      <c r="T33" s="49">
        <v>0.224902522848554</v>
      </c>
      <c r="U33" s="49">
        <v>0.304047107295286</v>
      </c>
      <c r="V33" s="49">
        <v>0.41496405674107301</v>
      </c>
      <c r="W33" s="49">
        <v>0.33580910201337</v>
      </c>
      <c r="X33" s="87">
        <v>0.279314412063637</v>
      </c>
      <c r="Y33" s="87">
        <v>0.376971094042517</v>
      </c>
      <c r="Z33" s="87">
        <v>0.25984207332664799</v>
      </c>
      <c r="AA33" s="87">
        <v>0.28530389237137599</v>
      </c>
      <c r="AB33" s="87">
        <v>0.38803418803418799</v>
      </c>
      <c r="AC33" s="87">
        <v>0.43205128205128202</v>
      </c>
      <c r="AD33" s="87">
        <v>0.36324786324786301</v>
      </c>
      <c r="AE33" s="87">
        <v>0.343162393162393</v>
      </c>
      <c r="AF33" s="87">
        <v>0.41349206349206402</v>
      </c>
      <c r="AG33" s="87">
        <v>0.39444444444444499</v>
      </c>
      <c r="AH33" s="87">
        <v>0.43974358974359001</v>
      </c>
      <c r="AI33" s="87">
        <v>0.39764957264957301</v>
      </c>
      <c r="AJ33" s="49">
        <v>0.30916209983442999</v>
      </c>
      <c r="AK33" s="49">
        <v>0.42796284074297802</v>
      </c>
      <c r="AL33" s="49">
        <v>0.59242619868378699</v>
      </c>
      <c r="AM33" s="49">
        <v>0.47546761237597701</v>
      </c>
      <c r="AN33" s="87">
        <v>0.36720251351210798</v>
      </c>
      <c r="AO33" s="87">
        <v>0.54124473183195998</v>
      </c>
      <c r="AP33" s="87">
        <v>0.36233158851629699</v>
      </c>
      <c r="AQ33" s="87">
        <v>0.41394789419487099</v>
      </c>
      <c r="AR33" s="49">
        <v>0.235897435897436</v>
      </c>
      <c r="AS33" s="49">
        <v>0.39743589743589702</v>
      </c>
      <c r="AT33" s="49">
        <v>0.44102564102564101</v>
      </c>
      <c r="AU33" s="49">
        <v>0.39230769230769202</v>
      </c>
      <c r="AV33" s="87">
        <v>0.30769230769230799</v>
      </c>
      <c r="AW33" s="87">
        <v>0.41282051282051302</v>
      </c>
      <c r="AX33" s="87">
        <v>0.30256410256410299</v>
      </c>
      <c r="AY33" s="87">
        <v>0.3</v>
      </c>
      <c r="AZ33" s="49">
        <v>2.4545454545454501</v>
      </c>
      <c r="BA33" s="49">
        <v>2.7121212121212102</v>
      </c>
      <c r="BB33" s="49">
        <v>1.9777777777777801</v>
      </c>
      <c r="BC33" s="49">
        <v>2.2888888888888901</v>
      </c>
      <c r="BD33" s="87">
        <v>3.01515151515152</v>
      </c>
      <c r="BE33" s="87">
        <v>2.3636363636363602</v>
      </c>
      <c r="BF33" s="87">
        <v>2.5757575757575801</v>
      </c>
      <c r="BG33" s="87">
        <v>2.3272727272727298</v>
      </c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</row>
    <row r="34" spans="1:77">
      <c r="A34" s="80">
        <v>32</v>
      </c>
      <c r="B34" s="49" t="s">
        <v>644</v>
      </c>
      <c r="C34" s="9">
        <v>2</v>
      </c>
      <c r="D34" s="49" t="s">
        <v>654</v>
      </c>
      <c r="E34" s="30" t="s">
        <v>655</v>
      </c>
      <c r="F34" s="30">
        <v>67217267</v>
      </c>
      <c r="G34" s="75">
        <v>28.428571428571427</v>
      </c>
      <c r="H34" s="49">
        <v>35.571428571428569</v>
      </c>
      <c r="I34" s="77">
        <v>0</v>
      </c>
      <c r="J34" s="30"/>
      <c r="K34" s="77">
        <v>0</v>
      </c>
      <c r="L34" s="49">
        <v>0.21634072707462601</v>
      </c>
      <c r="M34" s="49">
        <v>0.20476652517227101</v>
      </c>
      <c r="N34" s="49">
        <v>0.20212881143294301</v>
      </c>
      <c r="O34" s="49">
        <v>0.21462472801732299</v>
      </c>
      <c r="P34" s="49">
        <v>0.40519665116069598</v>
      </c>
      <c r="Q34" s="49">
        <v>0.39949185547652299</v>
      </c>
      <c r="R34" s="49">
        <v>0.38774949063422798</v>
      </c>
      <c r="S34" s="49">
        <v>0.39002760952648402</v>
      </c>
      <c r="T34" s="49">
        <v>0.35509209926260898</v>
      </c>
      <c r="U34" s="49">
        <v>0.31935083619988702</v>
      </c>
      <c r="V34" s="49">
        <v>0.31366750309290398</v>
      </c>
      <c r="W34" s="49">
        <v>0.2435050497197</v>
      </c>
      <c r="X34" s="49">
        <v>0.55006597054569095</v>
      </c>
      <c r="Y34" s="49">
        <v>0.50546919704729198</v>
      </c>
      <c r="Z34" s="49">
        <v>0.50507878716283505</v>
      </c>
      <c r="AA34" s="49">
        <v>0.50541122279253103</v>
      </c>
      <c r="AB34" s="49">
        <v>0.67342342342342298</v>
      </c>
      <c r="AC34" s="49">
        <v>0.58369565217391295</v>
      </c>
      <c r="AD34" s="49">
        <v>0.58369565217391295</v>
      </c>
      <c r="AE34" s="49">
        <v>0.52410714285714299</v>
      </c>
      <c r="AF34" s="49">
        <v>0.764880952380952</v>
      </c>
      <c r="AG34" s="49">
        <v>0.76190476190476197</v>
      </c>
      <c r="AH34" s="49">
        <v>0.75</v>
      </c>
      <c r="AI34" s="49">
        <v>0.75892857142857095</v>
      </c>
      <c r="AJ34" s="49">
        <v>0.52923358365948103</v>
      </c>
      <c r="AK34" s="49">
        <v>0.54694697313168095</v>
      </c>
      <c r="AL34" s="49">
        <v>0.54694697313168095</v>
      </c>
      <c r="AM34" s="49">
        <v>0.44078335356349102</v>
      </c>
      <c r="AN34" s="49">
        <v>0.74678322118051099</v>
      </c>
      <c r="AO34" s="49">
        <v>0.68828322517450202</v>
      </c>
      <c r="AP34" s="49">
        <v>0.69458265816854503</v>
      </c>
      <c r="AQ34" s="49">
        <v>0.70012129003321499</v>
      </c>
      <c r="AR34" s="49">
        <v>0.40256410256410302</v>
      </c>
      <c r="AS34" s="49">
        <v>0.487179487179487</v>
      </c>
      <c r="AT34" s="49">
        <v>0.487179487179487</v>
      </c>
      <c r="AU34" s="49">
        <v>0.41025641025641002</v>
      </c>
      <c r="AV34" s="49">
        <v>0.58315018315018297</v>
      </c>
      <c r="AW34" s="49">
        <v>0.50805860805860803</v>
      </c>
      <c r="AX34" s="49">
        <v>0.55714285714285705</v>
      </c>
      <c r="AY34" s="49">
        <v>0.55439560439560398</v>
      </c>
      <c r="AZ34" s="49">
        <v>1.86486486486487</v>
      </c>
      <c r="BA34" s="49">
        <v>2.3478260869565202</v>
      </c>
      <c r="BB34" s="49">
        <v>2.3478260869565202</v>
      </c>
      <c r="BC34" s="49">
        <v>2.75</v>
      </c>
      <c r="BD34" s="49">
        <v>1.5178571428571399</v>
      </c>
      <c r="BE34" s="49">
        <v>1.53571428571429</v>
      </c>
      <c r="BF34" s="49">
        <v>1.625</v>
      </c>
      <c r="BG34" s="49">
        <v>1.5535714285714299</v>
      </c>
      <c r="BH34" s="49">
        <v>32.856471287857403</v>
      </c>
      <c r="BI34" s="49">
        <v>5.9534219007887197</v>
      </c>
      <c r="BJ34" s="49">
        <v>2.0870365541551799</v>
      </c>
      <c r="BK34" s="49">
        <v>1.46680447598127</v>
      </c>
      <c r="BL34" s="49">
        <v>214.755810641398</v>
      </c>
      <c r="BM34" s="49">
        <v>36.353431669199203</v>
      </c>
      <c r="BN34" s="49">
        <v>9.50990544143386</v>
      </c>
      <c r="BO34" s="49">
        <v>3.7957923927330302</v>
      </c>
      <c r="BP34" s="49">
        <v>2.0770883502222501</v>
      </c>
      <c r="BQ34" s="49">
        <v>218.57390439708399</v>
      </c>
      <c r="BR34" s="49">
        <v>0.15299456247412899</v>
      </c>
      <c r="BS34" s="49">
        <v>2.7721819880020999E-2</v>
      </c>
      <c r="BT34" s="49">
        <v>9.7181843318789006E-3</v>
      </c>
      <c r="BU34" s="49">
        <v>6.8301037890451501E-3</v>
      </c>
      <c r="BV34" s="49">
        <v>0.166321006020718</v>
      </c>
      <c r="BW34" s="49">
        <v>4.3508878462257698E-2</v>
      </c>
      <c r="BX34" s="49">
        <v>1.7366173712289101E-2</v>
      </c>
      <c r="BY34" s="49">
        <v>9.5029109533990696E-3</v>
      </c>
    </row>
    <row r="35" spans="1:77">
      <c r="A35" s="80">
        <v>33</v>
      </c>
      <c r="B35" s="49" t="s">
        <v>644</v>
      </c>
      <c r="C35" s="9">
        <v>2</v>
      </c>
      <c r="D35" s="49" t="s">
        <v>660</v>
      </c>
      <c r="E35" s="30" t="s">
        <v>661</v>
      </c>
      <c r="F35" s="30">
        <v>67099292</v>
      </c>
      <c r="G35" s="75">
        <v>33.571428571428569</v>
      </c>
      <c r="H35" s="49">
        <v>38.142857142857153</v>
      </c>
      <c r="I35" s="77">
        <v>47.176368375325808</v>
      </c>
      <c r="J35" s="30">
        <v>5755</v>
      </c>
      <c r="K35" s="77">
        <v>47.176368375325808</v>
      </c>
      <c r="L35" s="49">
        <v>0.212144932259205</v>
      </c>
      <c r="M35" s="49">
        <v>0.289800704732322</v>
      </c>
      <c r="N35" s="49">
        <v>0.26780751067272401</v>
      </c>
      <c r="O35" s="49">
        <v>0.28950107523377699</v>
      </c>
      <c r="P35" s="49">
        <v>0.37933417359236099</v>
      </c>
      <c r="Q35" s="49">
        <v>0.37236508814590402</v>
      </c>
      <c r="R35" s="49">
        <v>0.33083899692229102</v>
      </c>
      <c r="S35" s="49">
        <v>0.33274081927933702</v>
      </c>
      <c r="T35" s="49">
        <v>0.49757025826316098</v>
      </c>
      <c r="U35" s="49">
        <v>0.362158822798756</v>
      </c>
      <c r="V35" s="49">
        <v>0.30685291418461902</v>
      </c>
      <c r="W35" s="49">
        <v>0.35621171809059199</v>
      </c>
      <c r="X35" s="49">
        <v>0.42850862313145599</v>
      </c>
      <c r="Y35" s="49">
        <v>0.44514809482141798</v>
      </c>
      <c r="Z35" s="49">
        <v>0.41609556488558602</v>
      </c>
      <c r="AA35" s="49">
        <v>0.41982821495925199</v>
      </c>
      <c r="AB35" s="49">
        <v>0.69607843137254899</v>
      </c>
      <c r="AC35" s="49">
        <v>0.49772727272727302</v>
      </c>
      <c r="AD35" s="49">
        <v>0.53987012987013006</v>
      </c>
      <c r="AE35" s="49">
        <v>0.49772727272727302</v>
      </c>
      <c r="AF35" s="49">
        <v>0.70580808080808</v>
      </c>
      <c r="AG35" s="49">
        <v>0.71338383838383801</v>
      </c>
      <c r="AH35" s="49">
        <v>0.63547008547008499</v>
      </c>
      <c r="AI35" s="49">
        <v>0.63760683760683801</v>
      </c>
      <c r="AJ35" s="49">
        <v>0.71456829175095005</v>
      </c>
      <c r="AK35" s="49">
        <v>0.505128205128205</v>
      </c>
      <c r="AL35" s="49">
        <v>0.41943921674676099</v>
      </c>
      <c r="AM35" s="49">
        <v>0.505128205128205</v>
      </c>
      <c r="AN35" s="49">
        <v>0.67178761270726295</v>
      </c>
      <c r="AO35" s="49">
        <v>0.70990181077699099</v>
      </c>
      <c r="AP35" s="49">
        <v>0.78348461478127196</v>
      </c>
      <c r="AQ35" s="49">
        <v>0.79584933180724104</v>
      </c>
      <c r="AR35" s="49">
        <v>0.61538461538461497</v>
      </c>
      <c r="AS35" s="49">
        <v>0.505128205128205</v>
      </c>
      <c r="AT35" s="49">
        <v>0.32051282051282098</v>
      </c>
      <c r="AU35" s="49">
        <v>0.505128205128205</v>
      </c>
      <c r="AV35" s="49">
        <v>0.58394383394383398</v>
      </c>
      <c r="AW35" s="49">
        <v>0.53809523809523796</v>
      </c>
      <c r="AX35" s="49">
        <v>0.62307692307692297</v>
      </c>
      <c r="AY35" s="49">
        <v>0.68791208791208802</v>
      </c>
      <c r="AZ35" s="49">
        <v>1.79411764705882</v>
      </c>
      <c r="BA35" s="49">
        <v>2.8333333333333299</v>
      </c>
      <c r="BB35" s="49">
        <v>2.6181818181818199</v>
      </c>
      <c r="BC35" s="49">
        <v>2.8333333333333299</v>
      </c>
      <c r="BD35" s="49">
        <v>1.7121212121212099</v>
      </c>
      <c r="BE35" s="49">
        <v>1.6666666666666701</v>
      </c>
      <c r="BF35" s="49">
        <v>2.0641025641025599</v>
      </c>
      <c r="BG35" s="49">
        <v>2.0512820512820502</v>
      </c>
      <c r="BH35" s="49">
        <v>59.319663849957301</v>
      </c>
      <c r="BI35" s="49">
        <v>21.915185975264599</v>
      </c>
      <c r="BJ35" s="49">
        <v>6.6410644530499203</v>
      </c>
      <c r="BK35" s="49">
        <v>2.2200934994279899</v>
      </c>
      <c r="BL35" s="49">
        <v>251.282489013847</v>
      </c>
      <c r="BM35" s="49">
        <v>88.929062332315993</v>
      </c>
      <c r="BN35" s="49">
        <v>25.350990278581001</v>
      </c>
      <c r="BO35" s="49">
        <v>7.0094718206800799</v>
      </c>
      <c r="BP35" s="49">
        <v>3.0835616493857598</v>
      </c>
      <c r="BQ35" s="49">
        <v>333.286709157497</v>
      </c>
      <c r="BR35" s="49">
        <v>0.23606763878675399</v>
      </c>
      <c r="BS35" s="49">
        <v>8.7213343282575503E-2</v>
      </c>
      <c r="BT35" s="49">
        <v>2.6428679845987901E-2</v>
      </c>
      <c r="BU35" s="49">
        <v>8.8350505765073806E-3</v>
      </c>
      <c r="BV35" s="49">
        <v>0.266824508415341</v>
      </c>
      <c r="BW35" s="49">
        <v>7.6063610045131402E-2</v>
      </c>
      <c r="BX35" s="49">
        <v>2.1031357171124698E-2</v>
      </c>
      <c r="BY35" s="49">
        <v>9.25197904585086E-3</v>
      </c>
    </row>
    <row r="36" spans="1:77">
      <c r="A36" s="80">
        <v>34</v>
      </c>
      <c r="B36" s="49" t="s">
        <v>644</v>
      </c>
      <c r="C36" s="9">
        <v>2</v>
      </c>
      <c r="D36" s="49" t="s">
        <v>671</v>
      </c>
      <c r="E36" s="30" t="s">
        <v>672</v>
      </c>
      <c r="F36" s="30">
        <v>67111551</v>
      </c>
      <c r="G36" s="75">
        <v>28.714285714285715</v>
      </c>
      <c r="H36" s="80">
        <v>36.714285714285722</v>
      </c>
      <c r="I36" s="77">
        <v>2.3659305993690851</v>
      </c>
      <c r="J36" s="30">
        <v>15216</v>
      </c>
      <c r="K36" s="77">
        <v>2.3659305993690851</v>
      </c>
      <c r="L36" s="49">
        <v>0.26466687145625201</v>
      </c>
      <c r="M36" s="49">
        <v>0.25375632963299399</v>
      </c>
      <c r="N36" s="49">
        <v>0.243642317529324</v>
      </c>
      <c r="O36" s="49">
        <v>0.24216340367230399</v>
      </c>
      <c r="P36" s="49">
        <v>0.37223662182359202</v>
      </c>
      <c r="Q36" s="49">
        <v>0.34360284647665301</v>
      </c>
      <c r="R36" s="49">
        <v>0.382905756451908</v>
      </c>
      <c r="S36" s="49">
        <v>0.32925111648495198</v>
      </c>
      <c r="T36" s="49">
        <v>0.42679327016551799</v>
      </c>
      <c r="U36" s="49">
        <v>0.44829063631309501</v>
      </c>
      <c r="V36" s="49">
        <v>0.41161661134766597</v>
      </c>
      <c r="W36" s="49">
        <v>0.40371677429694203</v>
      </c>
      <c r="X36" s="49">
        <v>0.56296530786419796</v>
      </c>
      <c r="Y36" s="49">
        <v>0.46274602599672698</v>
      </c>
      <c r="Z36" s="49">
        <v>0.45222235031254099</v>
      </c>
      <c r="AA36" s="49">
        <v>0.47789476707402501</v>
      </c>
      <c r="AB36" s="49">
        <v>0.59420289855072495</v>
      </c>
      <c r="AC36" s="49">
        <v>0.59629629629629599</v>
      </c>
      <c r="AD36" s="49">
        <v>0.68981481481481499</v>
      </c>
      <c r="AE36" s="49">
        <v>0.68981481481481499</v>
      </c>
      <c r="AF36" s="49">
        <v>0.70454545454545503</v>
      </c>
      <c r="AG36" s="49">
        <v>0.68863636363636405</v>
      </c>
      <c r="AH36" s="49">
        <v>0.64188034188034204</v>
      </c>
      <c r="AI36" s="49">
        <v>0.77380952380952395</v>
      </c>
      <c r="AJ36" s="49">
        <v>0.55539670847565903</v>
      </c>
      <c r="AK36" s="49">
        <v>0.57660002697354396</v>
      </c>
      <c r="AL36" s="49">
        <v>0.51506156543508197</v>
      </c>
      <c r="AM36" s="49">
        <v>0.51506156543508197</v>
      </c>
      <c r="AN36" s="49">
        <v>0.87740440818424803</v>
      </c>
      <c r="AO36" s="49">
        <v>0.76540044144095198</v>
      </c>
      <c r="AP36" s="49">
        <v>0.73050073120779802</v>
      </c>
      <c r="AQ36" s="49">
        <v>0.80324589254624301</v>
      </c>
      <c r="AR36" s="49">
        <v>0.492307692307692</v>
      </c>
      <c r="AS36" s="49">
        <v>0.53589743589743599</v>
      </c>
      <c r="AT36" s="49">
        <v>0.47435897435897401</v>
      </c>
      <c r="AU36" s="49">
        <v>0.47435897435897401</v>
      </c>
      <c r="AV36" s="49">
        <v>0.71758241758241803</v>
      </c>
      <c r="AW36" s="49">
        <v>0.65201465201465203</v>
      </c>
      <c r="AX36" s="49">
        <v>0.60567765567765597</v>
      </c>
      <c r="AY36" s="49">
        <v>0.64829059829059799</v>
      </c>
      <c r="AZ36" s="49">
        <v>2.2173913043478302</v>
      </c>
      <c r="BA36" s="49">
        <v>2.2222222222222201</v>
      </c>
      <c r="BB36" s="49">
        <v>1.75</v>
      </c>
      <c r="BC36" s="49">
        <v>1.75</v>
      </c>
      <c r="BD36" s="49">
        <v>1.7121212121212099</v>
      </c>
      <c r="BE36" s="49">
        <v>1.84848484848485</v>
      </c>
      <c r="BF36" s="49">
        <v>2</v>
      </c>
      <c r="BG36" s="49">
        <v>1.46428571428571</v>
      </c>
      <c r="BH36" s="49">
        <v>45.358804397619402</v>
      </c>
      <c r="BI36" s="49">
        <v>20.025337575106899</v>
      </c>
      <c r="BJ36" s="49">
        <v>7.2515556000821597</v>
      </c>
      <c r="BK36" s="49">
        <v>2.7029625650510298</v>
      </c>
      <c r="BL36" s="49">
        <v>194.92401120277501</v>
      </c>
      <c r="BM36" s="49">
        <v>65.740455625558795</v>
      </c>
      <c r="BN36" s="49">
        <v>23.343687234892201</v>
      </c>
      <c r="BO36" s="49">
        <v>8.3654536137496596</v>
      </c>
      <c r="BP36" s="49">
        <v>4.5167788444376997</v>
      </c>
      <c r="BQ36" s="49">
        <v>307.750306350247</v>
      </c>
      <c r="BR36" s="49">
        <v>0.23269993325980601</v>
      </c>
      <c r="BS36" s="49">
        <v>0.102734072890974</v>
      </c>
      <c r="BT36" s="49">
        <v>3.72019617046489E-2</v>
      </c>
      <c r="BU36" s="49">
        <v>1.3866750167783101E-2</v>
      </c>
      <c r="BV36" s="49">
        <v>0.21361621505825701</v>
      </c>
      <c r="BW36" s="49">
        <v>7.5852685613008106E-2</v>
      </c>
      <c r="BX36" s="49">
        <v>2.71826004430652E-2</v>
      </c>
      <c r="BY36" s="49">
        <v>1.4676764738284999E-2</v>
      </c>
    </row>
    <row r="37" spans="1:77">
      <c r="A37" s="80">
        <v>35</v>
      </c>
      <c r="B37" s="49" t="s">
        <v>644</v>
      </c>
      <c r="C37" s="9">
        <v>2</v>
      </c>
      <c r="D37" s="49" t="s">
        <v>687</v>
      </c>
      <c r="E37" s="73" t="s">
        <v>688</v>
      </c>
      <c r="F37" s="73">
        <v>67122567</v>
      </c>
      <c r="G37" s="76">
        <v>31.142857142857142</v>
      </c>
      <c r="H37" s="49">
        <v>37.142857142857153</v>
      </c>
      <c r="I37" s="78">
        <v>23.729946524064172</v>
      </c>
      <c r="J37" s="73">
        <v>23936</v>
      </c>
      <c r="K37" s="78">
        <v>23.729946524064172</v>
      </c>
      <c r="L37" s="49">
        <v>0.30086678583413701</v>
      </c>
      <c r="M37" s="49">
        <v>0.35522627628832198</v>
      </c>
      <c r="N37" s="49">
        <v>0.27988519055739303</v>
      </c>
      <c r="O37" s="49">
        <v>0.273159318034079</v>
      </c>
      <c r="P37" s="49">
        <v>0.442795965667661</v>
      </c>
      <c r="Q37" s="49">
        <v>0.393225674103724</v>
      </c>
      <c r="R37" s="49">
        <v>0.37174772783515903</v>
      </c>
      <c r="S37" s="49">
        <v>0.38073539052543198</v>
      </c>
      <c r="T37" s="49">
        <v>0.41525891814217902</v>
      </c>
      <c r="U37" s="49">
        <v>0.388338137385763</v>
      </c>
      <c r="V37" s="49">
        <v>0.55270344391885495</v>
      </c>
      <c r="W37" s="49">
        <v>0.54214416151817002</v>
      </c>
      <c r="X37" s="49">
        <v>0.55683736274157802</v>
      </c>
      <c r="Y37" s="49">
        <v>0.49580102424304701</v>
      </c>
      <c r="Z37" s="49">
        <v>0.46514935938838198</v>
      </c>
      <c r="AA37" s="49">
        <v>0.47239788319056197</v>
      </c>
      <c r="AB37" s="49">
        <v>0.60869565217391297</v>
      </c>
      <c r="AC37" s="49">
        <v>0.51136363636363702</v>
      </c>
      <c r="AD37" s="49">
        <v>0.66239316239316304</v>
      </c>
      <c r="AE37" s="49">
        <v>0.66239316239316304</v>
      </c>
      <c r="AF37" s="49">
        <v>0.72222222222222199</v>
      </c>
      <c r="AG37" s="49">
        <v>0.72474747474747503</v>
      </c>
      <c r="AH37" s="49">
        <v>0.71969696969696995</v>
      </c>
      <c r="AI37" s="49">
        <v>0.72979797979798</v>
      </c>
      <c r="AJ37" s="49">
        <v>0.49687056002421398</v>
      </c>
      <c r="AK37" s="49">
        <v>0.46818027697005299</v>
      </c>
      <c r="AL37" s="49">
        <v>0.65028291609296396</v>
      </c>
      <c r="AM37" s="49">
        <v>0.65028291609296396</v>
      </c>
      <c r="AN37" s="49">
        <v>0.77562662439914998</v>
      </c>
      <c r="AO37" s="49">
        <v>0.78536772144495504</v>
      </c>
      <c r="AP37" s="49">
        <v>0.78162371245620499</v>
      </c>
      <c r="AQ37" s="49">
        <v>0.77742052764287595</v>
      </c>
      <c r="AR37" s="49">
        <v>0.42564102564102602</v>
      </c>
      <c r="AS37" s="49">
        <v>0.36923076923076897</v>
      </c>
      <c r="AT37" s="49">
        <v>0.58974358974358998</v>
      </c>
      <c r="AU37" s="49">
        <v>0.58974358974358998</v>
      </c>
      <c r="AV37" s="49">
        <v>0.60854700854700905</v>
      </c>
      <c r="AW37" s="49">
        <v>0.64188034188034204</v>
      </c>
      <c r="AX37" s="49">
        <v>0.61446886446886495</v>
      </c>
      <c r="AY37" s="49">
        <v>0.58394383394383398</v>
      </c>
      <c r="AZ37" s="49">
        <v>2.0869565217391299</v>
      </c>
      <c r="BA37" s="49">
        <v>2.6212121212121202</v>
      </c>
      <c r="BB37" s="49">
        <v>1.84615384615385</v>
      </c>
      <c r="BC37" s="49">
        <v>1.84615384615385</v>
      </c>
      <c r="BD37" s="49">
        <v>1.60606060606061</v>
      </c>
      <c r="BE37" s="49">
        <v>1.5909090909090899</v>
      </c>
      <c r="BF37" s="49">
        <v>1.62121212121212</v>
      </c>
      <c r="BG37" s="49">
        <v>1.5606060606060601</v>
      </c>
      <c r="BH37" s="49">
        <v>36.055985905273602</v>
      </c>
      <c r="BI37" s="49">
        <v>11.7049287353453</v>
      </c>
      <c r="BJ37" s="49">
        <v>4.5757370405090203</v>
      </c>
      <c r="BK37" s="49">
        <v>2.2495531557192501</v>
      </c>
      <c r="BL37" s="49">
        <v>174.54422912263701</v>
      </c>
      <c r="BM37" s="49">
        <v>62.753823145839</v>
      </c>
      <c r="BN37" s="49">
        <v>13.508773403958999</v>
      </c>
      <c r="BO37" s="49">
        <v>5.1866185801474902</v>
      </c>
      <c r="BP37" s="49">
        <v>2.7248585212925902</v>
      </c>
      <c r="BQ37" s="49">
        <v>352.53042568215801</v>
      </c>
      <c r="BR37" s="49">
        <v>0.20657220285375399</v>
      </c>
      <c r="BS37" s="49">
        <v>6.7059958350850393E-2</v>
      </c>
      <c r="BT37" s="49">
        <v>2.6215344176713201E-2</v>
      </c>
      <c r="BU37" s="49">
        <v>1.2888155437890099E-2</v>
      </c>
      <c r="BV37" s="49">
        <v>0.17800966547613101</v>
      </c>
      <c r="BW37" s="49">
        <v>3.8319453924633998E-2</v>
      </c>
      <c r="BX37" s="49">
        <v>1.4712541676682799E-2</v>
      </c>
      <c r="BY37" s="49">
        <v>7.7294279380847796E-3</v>
      </c>
    </row>
    <row r="38" spans="1:77">
      <c r="A38" s="80">
        <v>36</v>
      </c>
      <c r="B38" s="49" t="s">
        <v>644</v>
      </c>
      <c r="C38" s="9">
        <v>2</v>
      </c>
      <c r="D38" s="49" t="s">
        <v>695</v>
      </c>
      <c r="E38" s="30" t="s">
        <v>696</v>
      </c>
      <c r="F38" s="30">
        <v>67192543</v>
      </c>
      <c r="G38" s="75">
        <v>29.285714285714285</v>
      </c>
      <c r="H38" s="49">
        <v>34.142857142857153</v>
      </c>
      <c r="I38" s="77">
        <v>7.1329061019782678</v>
      </c>
      <c r="J38" s="30">
        <v>14356</v>
      </c>
      <c r="K38" s="77">
        <v>7.1329061019782678</v>
      </c>
      <c r="L38" s="49">
        <v>0.28339303631980001</v>
      </c>
      <c r="M38" s="49">
        <v>0.25383799912420502</v>
      </c>
      <c r="N38" s="49">
        <v>0.189103356224019</v>
      </c>
      <c r="O38" s="49">
        <v>0.19434508506790299</v>
      </c>
      <c r="P38" s="49">
        <v>0.39363868726962098</v>
      </c>
      <c r="Q38" s="49">
        <v>0.34326542939034899</v>
      </c>
      <c r="R38" s="49">
        <v>0.33742733096660898</v>
      </c>
      <c r="S38" s="49">
        <v>0.29808059817396898</v>
      </c>
      <c r="T38" s="49">
        <v>0.289717462120059</v>
      </c>
      <c r="U38" s="49">
        <v>0.34399190461919699</v>
      </c>
      <c r="V38" s="49">
        <v>0.43967977914050699</v>
      </c>
      <c r="W38" s="49">
        <v>0.31921801782834602</v>
      </c>
      <c r="X38" s="49">
        <v>0.588103979443237</v>
      </c>
      <c r="Y38" s="49">
        <v>0.44430493982774</v>
      </c>
      <c r="Z38" s="49">
        <v>0.39355634636335002</v>
      </c>
      <c r="AA38" s="49">
        <v>0.37251101278577298</v>
      </c>
      <c r="AB38" s="49">
        <v>0.42613960113960098</v>
      </c>
      <c r="AC38" s="49">
        <v>0.46345598845598901</v>
      </c>
      <c r="AD38" s="49">
        <v>0.73655913978494603</v>
      </c>
      <c r="AE38" s="49">
        <v>0.73387096774193605</v>
      </c>
      <c r="AF38" s="49">
        <v>0.62692307692307703</v>
      </c>
      <c r="AG38" s="49">
        <v>0.69696969696969702</v>
      </c>
      <c r="AH38" s="49">
        <v>0.70202020202020199</v>
      </c>
      <c r="AI38" s="49">
        <v>0.73030303030303001</v>
      </c>
      <c r="AJ38" s="49">
        <v>0.404562867716522</v>
      </c>
      <c r="AK38" s="49">
        <v>0.50808162223322595</v>
      </c>
      <c r="AL38" s="49">
        <v>0.67057540079951095</v>
      </c>
      <c r="AM38" s="49">
        <v>0.466431832964394</v>
      </c>
      <c r="AN38" s="49">
        <v>0.91404263256450902</v>
      </c>
      <c r="AO38" s="49">
        <v>0.75277082250995297</v>
      </c>
      <c r="AP38" s="49">
        <v>0.67100793340861697</v>
      </c>
      <c r="AQ38" s="49">
        <v>0.62922592887374496</v>
      </c>
      <c r="AR38" s="49">
        <v>0.33333333333333298</v>
      </c>
      <c r="AS38" s="49">
        <v>0.39743589743589702</v>
      </c>
      <c r="AT38" s="49">
        <v>0.64615384615384597</v>
      </c>
      <c r="AU38" s="49">
        <v>0.34102564102564098</v>
      </c>
      <c r="AV38" s="49">
        <v>0.76446886446886497</v>
      </c>
      <c r="AW38" s="49">
        <v>0.59890109890109899</v>
      </c>
      <c r="AX38" s="49">
        <v>0.573260073260073</v>
      </c>
      <c r="AY38" s="49">
        <v>0.58516483516483497</v>
      </c>
      <c r="AZ38" s="49">
        <v>3.8076923076923102</v>
      </c>
      <c r="BA38" s="49">
        <v>3.4090909090909101</v>
      </c>
      <c r="BB38" s="49">
        <v>1.61290322580645</v>
      </c>
      <c r="BC38" s="49">
        <v>1.6451612903225801</v>
      </c>
      <c r="BD38" s="49">
        <v>2.12820512820513</v>
      </c>
      <c r="BE38" s="49">
        <v>1.7878787878787901</v>
      </c>
      <c r="BF38" s="49">
        <v>1.74242424242424</v>
      </c>
      <c r="BG38" s="49">
        <v>1.8</v>
      </c>
      <c r="BH38" s="49">
        <v>33.093053473687299</v>
      </c>
      <c r="BI38" s="49">
        <v>9.0609158537146808</v>
      </c>
      <c r="BJ38" s="49">
        <v>4.2115085260045602</v>
      </c>
      <c r="BK38" s="49">
        <v>2.4462506121596701</v>
      </c>
      <c r="BL38" s="49">
        <v>129.258010932041</v>
      </c>
      <c r="BM38" s="49">
        <v>56.635344362666402</v>
      </c>
      <c r="BN38" s="49">
        <v>11.0892708069251</v>
      </c>
      <c r="BO38" s="49">
        <v>3.6148094660887802</v>
      </c>
      <c r="BP38" s="49">
        <v>2.1090368606057601</v>
      </c>
      <c r="BQ38" s="49">
        <v>217.89999825850501</v>
      </c>
      <c r="BR38" s="49">
        <v>0.25602323008889799</v>
      </c>
      <c r="BS38" s="49">
        <v>7.0099452934321904E-2</v>
      </c>
      <c r="BT38" s="49">
        <v>3.2582185782038697E-2</v>
      </c>
      <c r="BU38" s="49">
        <v>1.8925330774630399E-2</v>
      </c>
      <c r="BV38" s="49">
        <v>0.25991438648603099</v>
      </c>
      <c r="BW38" s="49">
        <v>5.0891559869447003E-2</v>
      </c>
      <c r="BX38" s="49">
        <v>1.6589304703896201E-2</v>
      </c>
      <c r="BY38" s="49">
        <v>9.6789209612737504E-3</v>
      </c>
    </row>
    <row r="39" spans="1:77">
      <c r="A39" s="80">
        <v>37</v>
      </c>
      <c r="B39" s="49" t="s">
        <v>644</v>
      </c>
      <c r="C39" s="9">
        <v>2</v>
      </c>
      <c r="D39" s="49" t="s">
        <v>699</v>
      </c>
      <c r="E39" s="30" t="s">
        <v>700</v>
      </c>
      <c r="F39" s="30">
        <v>67094116</v>
      </c>
      <c r="G39" s="75">
        <v>33.714285714285715</v>
      </c>
      <c r="H39" s="49">
        <v>37</v>
      </c>
      <c r="I39" s="77">
        <v>24.594594594594597</v>
      </c>
      <c r="J39" s="30">
        <v>2960</v>
      </c>
      <c r="K39" s="77">
        <v>24.594594594594597</v>
      </c>
      <c r="L39" s="49">
        <v>0.25073576564366801</v>
      </c>
      <c r="M39" s="49">
        <v>0.24924611879587499</v>
      </c>
      <c r="N39" s="49">
        <v>0.25009389170886798</v>
      </c>
      <c r="O39" s="49">
        <v>0.25461070956051302</v>
      </c>
      <c r="P39" s="49">
        <v>0.34721621071725201</v>
      </c>
      <c r="Q39" s="49">
        <v>0.36311463127543903</v>
      </c>
      <c r="R39" s="49">
        <v>0.341887146308123</v>
      </c>
      <c r="S39" s="49">
        <v>0.34095948898866901</v>
      </c>
      <c r="T39" s="49">
        <v>0.38682601545162598</v>
      </c>
      <c r="U39" s="49">
        <v>0.338921531277254</v>
      </c>
      <c r="V39" s="49">
        <v>0.42074754836669498</v>
      </c>
      <c r="W39" s="49">
        <v>0.301384263110061</v>
      </c>
      <c r="X39" s="49">
        <v>0.535345746275801</v>
      </c>
      <c r="Y39" s="49">
        <v>0.473914482814834</v>
      </c>
      <c r="Z39" s="49">
        <v>0.51794899690578</v>
      </c>
      <c r="AA39" s="49">
        <v>0.51349425215116595</v>
      </c>
      <c r="AB39" s="49">
        <v>0.68468468468468502</v>
      </c>
      <c r="AC39" s="49">
        <v>0.69369369369369405</v>
      </c>
      <c r="AD39" s="49">
        <v>0.67117117117117098</v>
      </c>
      <c r="AE39" s="49">
        <v>0.68918918918918903</v>
      </c>
      <c r="AF39" s="49">
        <v>0.844444444444444</v>
      </c>
      <c r="AG39" s="49">
        <v>0.77380952380952395</v>
      </c>
      <c r="AH39" s="49">
        <v>0.844444444444444</v>
      </c>
      <c r="AI39" s="49">
        <v>0.844444444444444</v>
      </c>
      <c r="AJ39" s="49">
        <v>0.49922873952755298</v>
      </c>
      <c r="AK39" s="49">
        <v>0.45380978944476802</v>
      </c>
      <c r="AL39" s="49">
        <v>0.53970974979743203</v>
      </c>
      <c r="AM39" s="49">
        <v>0.38911132266530002</v>
      </c>
      <c r="AN39" s="49">
        <v>0.75011100533872199</v>
      </c>
      <c r="AO39" s="49">
        <v>0.71611620905461104</v>
      </c>
      <c r="AP39" s="49">
        <v>0.74377650778486404</v>
      </c>
      <c r="AQ39" s="49">
        <v>0.73770649673615396</v>
      </c>
      <c r="AR39" s="49">
        <v>0.46666666666666701</v>
      </c>
      <c r="AS39" s="49">
        <v>0.38461538461538503</v>
      </c>
      <c r="AT39" s="49">
        <v>0.41025641025641002</v>
      </c>
      <c r="AU39" s="49">
        <v>0.34358974358974398</v>
      </c>
      <c r="AV39" s="49">
        <v>0.68070818070818095</v>
      </c>
      <c r="AW39" s="49">
        <v>0.57753357753357804</v>
      </c>
      <c r="AX39" s="49">
        <v>0.64792429792429795</v>
      </c>
      <c r="AY39" s="49">
        <v>0.61642246642246601</v>
      </c>
      <c r="AZ39" s="49">
        <v>1.7567567567567599</v>
      </c>
      <c r="BA39" s="49">
        <v>1.7027027027027</v>
      </c>
      <c r="BB39" s="49">
        <v>1.86486486486487</v>
      </c>
      <c r="BC39" s="49">
        <v>1.72972972972973</v>
      </c>
      <c r="BD39" s="49">
        <v>1.31111111111111</v>
      </c>
      <c r="BE39" s="49">
        <v>1.46428571428571</v>
      </c>
      <c r="BF39" s="49">
        <v>1.31111111111111</v>
      </c>
      <c r="BG39" s="49">
        <v>1.31111111111111</v>
      </c>
      <c r="BH39" s="49">
        <v>13.0684781056161</v>
      </c>
      <c r="BI39" s="49">
        <v>7.7732486714095597</v>
      </c>
      <c r="BJ39" s="49">
        <v>3.6574434824193101</v>
      </c>
      <c r="BK39" s="49">
        <v>3.6140714231003099</v>
      </c>
      <c r="BL39" s="49">
        <v>104.827025276283</v>
      </c>
      <c r="BM39" s="49">
        <v>39.3070856522341</v>
      </c>
      <c r="BN39" s="49">
        <v>13.7970440806884</v>
      </c>
      <c r="BO39" s="49">
        <v>5.6937175897368002</v>
      </c>
      <c r="BP39" s="49">
        <v>3.1809459967115101</v>
      </c>
      <c r="BQ39" s="49">
        <v>210.40285397785499</v>
      </c>
      <c r="BR39" s="49">
        <v>0.12466707007255701</v>
      </c>
      <c r="BS39" s="49">
        <v>7.4153097933689197E-2</v>
      </c>
      <c r="BT39" s="49">
        <v>3.4890272549275403E-2</v>
      </c>
      <c r="BU39" s="49">
        <v>3.4476523716808899E-2</v>
      </c>
      <c r="BV39" s="49">
        <v>0.18681821519574601</v>
      </c>
      <c r="BW39" s="49">
        <v>6.5574415079657195E-2</v>
      </c>
      <c r="BX39" s="49">
        <v>2.7061028318256901E-2</v>
      </c>
      <c r="BY39" s="49">
        <v>1.5118359549658501E-2</v>
      </c>
    </row>
    <row r="40" spans="1:77">
      <c r="A40" s="80">
        <v>38</v>
      </c>
      <c r="B40" s="49" t="s">
        <v>644</v>
      </c>
      <c r="C40" s="9">
        <v>2</v>
      </c>
      <c r="D40" s="49" t="s">
        <v>701</v>
      </c>
      <c r="E40" s="30" t="s">
        <v>702</v>
      </c>
      <c r="F40" s="30">
        <v>67094117</v>
      </c>
      <c r="G40" s="75">
        <v>33.714285714285715</v>
      </c>
      <c r="H40" s="49">
        <v>37.142857142857153</v>
      </c>
      <c r="I40" s="77">
        <v>8.791208791208792</v>
      </c>
      <c r="J40" s="30">
        <v>5096</v>
      </c>
      <c r="K40" s="77">
        <v>8.791208791208792</v>
      </c>
      <c r="L40" s="49">
        <v>0.237697867563197</v>
      </c>
      <c r="M40" s="49">
        <v>0.27379924616669898</v>
      </c>
      <c r="N40" s="49">
        <v>0.25516524305849803</v>
      </c>
      <c r="O40" s="49">
        <v>0.25755553671451498</v>
      </c>
      <c r="P40" s="49">
        <v>0.43045000516746501</v>
      </c>
      <c r="Q40" s="49">
        <v>0.40435488669727998</v>
      </c>
      <c r="R40" s="49">
        <v>0.430257075116804</v>
      </c>
      <c r="S40" s="49">
        <v>0.40960205728219701</v>
      </c>
      <c r="T40" s="49">
        <v>0.37862423762952302</v>
      </c>
      <c r="U40" s="49">
        <v>0.32952937148817102</v>
      </c>
      <c r="V40" s="49">
        <v>0.35206711199910901</v>
      </c>
      <c r="W40" s="49">
        <v>0.29354344293414403</v>
      </c>
      <c r="X40" s="49">
        <v>0.56792330601276098</v>
      </c>
      <c r="Y40" s="49">
        <v>0.55984038416831805</v>
      </c>
      <c r="Z40" s="49">
        <v>0.52294169393576295</v>
      </c>
      <c r="AA40" s="49">
        <v>0.42502586790409702</v>
      </c>
      <c r="AB40" s="49">
        <v>0.67763157894736903</v>
      </c>
      <c r="AC40" s="49">
        <v>0.56303030303030299</v>
      </c>
      <c r="AD40" s="49">
        <v>0.60703703703703704</v>
      </c>
      <c r="AE40" s="49">
        <v>0.61925925925925995</v>
      </c>
      <c r="AF40" s="49">
        <v>0.65384615384615397</v>
      </c>
      <c r="AG40" s="49">
        <v>0.67521367521367504</v>
      </c>
      <c r="AH40" s="49">
        <v>0.67948717948717996</v>
      </c>
      <c r="AI40" s="49">
        <v>0.66880341880341898</v>
      </c>
      <c r="AJ40" s="49">
        <v>0.51520055882923899</v>
      </c>
      <c r="AK40" s="49">
        <v>0.43578030900866599</v>
      </c>
      <c r="AL40" s="49">
        <v>0.46972337783967999</v>
      </c>
      <c r="AM40" s="49">
        <v>0.38873004180899301</v>
      </c>
      <c r="AN40" s="49">
        <v>0.83976949201027595</v>
      </c>
      <c r="AO40" s="49">
        <v>0.92751026205270803</v>
      </c>
      <c r="AP40" s="49">
        <v>0.81310075460174303</v>
      </c>
      <c r="AQ40" s="49">
        <v>0.69793904785290195</v>
      </c>
      <c r="AR40" s="49">
        <v>0.46153846153846201</v>
      </c>
      <c r="AS40" s="49">
        <v>0.35641025641025598</v>
      </c>
      <c r="AT40" s="49">
        <v>0.40256410256410302</v>
      </c>
      <c r="AU40" s="49">
        <v>0.32564102564102598</v>
      </c>
      <c r="AV40" s="49">
        <v>0.68901098901098901</v>
      </c>
      <c r="AW40" s="49">
        <v>0.687667887667888</v>
      </c>
      <c r="AX40" s="49">
        <v>0.65708180708180697</v>
      </c>
      <c r="AY40" s="49">
        <v>0.56837606837606802</v>
      </c>
      <c r="AZ40" s="49">
        <v>1.7894736842105301</v>
      </c>
      <c r="BA40" s="49">
        <v>2.3454545454545501</v>
      </c>
      <c r="BB40" s="49">
        <v>2.1777777777777798</v>
      </c>
      <c r="BC40" s="49">
        <v>2.06666666666667</v>
      </c>
      <c r="BD40" s="49">
        <v>1.8974358974359</v>
      </c>
      <c r="BE40" s="49">
        <v>1.7435897435897401</v>
      </c>
      <c r="BF40" s="49">
        <v>1.7179487179487201</v>
      </c>
      <c r="BG40" s="49">
        <v>1.7948717948718</v>
      </c>
      <c r="BH40" s="49">
        <v>41.778586977776001</v>
      </c>
      <c r="BI40" s="49">
        <v>13.6852082349937</v>
      </c>
      <c r="BJ40" s="49">
        <v>6.1943979007021799</v>
      </c>
      <c r="BK40" s="49">
        <v>2.9847273102743399</v>
      </c>
      <c r="BL40" s="49">
        <v>217.96008198973399</v>
      </c>
      <c r="BM40" s="49">
        <v>60.657233250156501</v>
      </c>
      <c r="BN40" s="49">
        <v>17.684935860965901</v>
      </c>
      <c r="BO40" s="49">
        <v>7.6229690739140299</v>
      </c>
      <c r="BP40" s="49">
        <v>3.8938901923103901</v>
      </c>
      <c r="BQ40" s="49">
        <v>278.220767380192</v>
      </c>
      <c r="BR40" s="49">
        <v>0.19167999294358801</v>
      </c>
      <c r="BS40" s="49">
        <v>6.2787681625290998E-2</v>
      </c>
      <c r="BT40" s="49">
        <v>2.8419873236210001E-2</v>
      </c>
      <c r="BU40" s="49">
        <v>1.36939171752327E-2</v>
      </c>
      <c r="BV40" s="49">
        <v>0.21801835219319801</v>
      </c>
      <c r="BW40" s="49">
        <v>6.3564398975289996E-2</v>
      </c>
      <c r="BX40" s="49">
        <v>2.73989937763961E-2</v>
      </c>
      <c r="BY40" s="49">
        <v>1.3995684897919001E-2</v>
      </c>
    </row>
    <row r="41" spans="1:77">
      <c r="A41" s="80">
        <v>39</v>
      </c>
      <c r="B41" s="49" t="s">
        <v>644</v>
      </c>
      <c r="C41" s="9">
        <v>2</v>
      </c>
      <c r="D41" s="49" t="s">
        <v>703</v>
      </c>
      <c r="E41" s="30" t="s">
        <v>81</v>
      </c>
      <c r="F41" s="30">
        <v>67100076</v>
      </c>
      <c r="G41" s="75">
        <v>33.714285714285715</v>
      </c>
      <c r="H41" s="80">
        <v>38.285714285714278</v>
      </c>
      <c r="I41" s="77">
        <v>38.540145985401459</v>
      </c>
      <c r="J41" s="30">
        <v>5480</v>
      </c>
      <c r="K41" s="77">
        <v>38.540145985401459</v>
      </c>
      <c r="L41" s="49">
        <v>0.29520525443435602</v>
      </c>
      <c r="M41" s="49">
        <v>0.30765008192235299</v>
      </c>
      <c r="N41" s="49">
        <v>0.30419170639855397</v>
      </c>
      <c r="O41" s="49">
        <v>0.28730694107406202</v>
      </c>
      <c r="P41" s="49">
        <v>0.48966642718353998</v>
      </c>
      <c r="Q41" s="49">
        <v>0.45413068031281101</v>
      </c>
      <c r="R41" s="49">
        <v>0.43226357753740202</v>
      </c>
      <c r="S41" s="49">
        <v>0.43106440644119998</v>
      </c>
      <c r="T41" s="49">
        <v>0.38365523759873899</v>
      </c>
      <c r="U41" s="49">
        <v>0.304484898902108</v>
      </c>
      <c r="V41" s="49">
        <v>0.32679361721383499</v>
      </c>
      <c r="W41" s="49">
        <v>0.322534245752291</v>
      </c>
      <c r="X41" s="49">
        <v>0.56862139803172296</v>
      </c>
      <c r="Y41" s="49">
        <v>0.62959047729803896</v>
      </c>
      <c r="Z41" s="49">
        <v>0.55992148250007401</v>
      </c>
      <c r="AA41" s="49">
        <v>0.59245372250531703</v>
      </c>
      <c r="AB41" s="49">
        <v>0.57030303030303098</v>
      </c>
      <c r="AC41" s="49">
        <v>0.50883838383838398</v>
      </c>
      <c r="AD41" s="49">
        <v>0.51843434343434402</v>
      </c>
      <c r="AE41" s="49">
        <v>0.50191197691197698</v>
      </c>
      <c r="AF41" s="49">
        <v>0.67307692307692302</v>
      </c>
      <c r="AG41" s="49">
        <v>0.67735042735042705</v>
      </c>
      <c r="AH41" s="49">
        <v>0.683760683760683</v>
      </c>
      <c r="AI41" s="49">
        <v>0.683760683760683</v>
      </c>
      <c r="AJ41" s="49">
        <v>0.52788895209073905</v>
      </c>
      <c r="AK41" s="49">
        <v>0.43644827541312098</v>
      </c>
      <c r="AL41" s="49">
        <v>0.47340365733115097</v>
      </c>
      <c r="AM41" s="49">
        <v>0.48235925418008402</v>
      </c>
      <c r="AN41" s="49">
        <v>0.77346789821054895</v>
      </c>
      <c r="AO41" s="49">
        <v>0.93101367515256905</v>
      </c>
      <c r="AP41" s="49">
        <v>0.86818250741342295</v>
      </c>
      <c r="AQ41" s="49">
        <v>0.93733331607774595</v>
      </c>
      <c r="AR41" s="49">
        <v>0.42564102564102602</v>
      </c>
      <c r="AS41" s="49">
        <v>0.34615384615384598</v>
      </c>
      <c r="AT41" s="49">
        <v>0.38717948717948703</v>
      </c>
      <c r="AU41" s="49">
        <v>0.39487179487179502</v>
      </c>
      <c r="AV41" s="49">
        <v>0.603479853479854</v>
      </c>
      <c r="AW41" s="49">
        <v>0.68992673992674003</v>
      </c>
      <c r="AX41" s="49">
        <v>0.69438339438339403</v>
      </c>
      <c r="AY41" s="49">
        <v>0.71770451770451804</v>
      </c>
      <c r="AZ41" s="49">
        <v>2.2363636363636399</v>
      </c>
      <c r="BA41" s="49">
        <v>2.6363636363636398</v>
      </c>
      <c r="BB41" s="49">
        <v>2.5454545454545499</v>
      </c>
      <c r="BC41" s="49">
        <v>2.7727272727272698</v>
      </c>
      <c r="BD41" s="49">
        <v>1.7564102564102599</v>
      </c>
      <c r="BE41" s="49">
        <v>1.7307692307692299</v>
      </c>
      <c r="BF41" s="49">
        <v>1.6923076923076901</v>
      </c>
      <c r="BG41" s="49">
        <v>1.6923076923076901</v>
      </c>
      <c r="BH41" s="49">
        <v>44.144692401028102</v>
      </c>
      <c r="BI41" s="49">
        <v>14.1198617232067</v>
      </c>
      <c r="BJ41" s="49">
        <v>4.5315643349516002</v>
      </c>
      <c r="BK41" s="49">
        <v>2.2824001532318801</v>
      </c>
      <c r="BL41" s="49">
        <v>175.35400325016101</v>
      </c>
      <c r="BM41" s="49">
        <v>47.821344604720601</v>
      </c>
      <c r="BN41" s="49">
        <v>10.869081572998599</v>
      </c>
      <c r="BO41" s="49">
        <v>3.6678103393722101</v>
      </c>
      <c r="BP41" s="49">
        <v>1.94394014526667</v>
      </c>
      <c r="BQ41" s="49">
        <v>217.217168502064</v>
      </c>
      <c r="BR41" s="49">
        <v>0.25174613400785001</v>
      </c>
      <c r="BS41" s="49">
        <v>8.0522038057284903E-2</v>
      </c>
      <c r="BT41" s="49">
        <v>2.5842377424864602E-2</v>
      </c>
      <c r="BU41" s="49">
        <v>1.30159569267192E-2</v>
      </c>
      <c r="BV41" s="49">
        <v>0.22015453444356201</v>
      </c>
      <c r="BW41" s="49">
        <v>5.0037856804561701E-2</v>
      </c>
      <c r="BX41" s="49">
        <v>1.6885453229436399E-2</v>
      </c>
      <c r="BY41" s="49">
        <v>8.94929327489229E-3</v>
      </c>
    </row>
    <row r="42" spans="1:77">
      <c r="A42" s="80">
        <v>40</v>
      </c>
      <c r="B42" s="49" t="s">
        <v>644</v>
      </c>
      <c r="C42" s="9">
        <v>2</v>
      </c>
      <c r="D42" s="49" t="s">
        <v>707</v>
      </c>
      <c r="E42" s="30" t="s">
        <v>708</v>
      </c>
      <c r="F42" s="30">
        <v>67161719</v>
      </c>
      <c r="G42" s="75">
        <v>33.714285714285715</v>
      </c>
      <c r="H42" s="49">
        <v>37.857142857142847</v>
      </c>
      <c r="I42" s="77">
        <v>39.686468646864689</v>
      </c>
      <c r="J42" s="30">
        <v>9696</v>
      </c>
      <c r="K42" s="77">
        <v>39.686468646864689</v>
      </c>
      <c r="L42" s="49">
        <v>0.26352136269755899</v>
      </c>
      <c r="M42" s="49">
        <v>0.25846182858605199</v>
      </c>
      <c r="N42" s="49">
        <v>0.25924559685163001</v>
      </c>
      <c r="O42" s="49">
        <v>0.238677507478254</v>
      </c>
      <c r="P42" s="49">
        <v>0.38723371152705399</v>
      </c>
      <c r="Q42" s="49">
        <v>0.37228295597285299</v>
      </c>
      <c r="R42" s="49">
        <v>0.34921936239965601</v>
      </c>
      <c r="S42" s="49">
        <v>0.333187533786936</v>
      </c>
      <c r="T42" s="49">
        <v>0.41238070346398498</v>
      </c>
      <c r="U42" s="49">
        <v>0.39685935812498802</v>
      </c>
      <c r="V42" s="49">
        <v>0.35002556828344</v>
      </c>
      <c r="W42" s="49">
        <v>0.38027896090190999</v>
      </c>
      <c r="X42" s="49">
        <v>0.49725646661709899</v>
      </c>
      <c r="Y42" s="49">
        <v>0.48080864216562202</v>
      </c>
      <c r="Z42" s="49">
        <v>0.44911382314301901</v>
      </c>
      <c r="AA42" s="49">
        <v>0.48740112275136699</v>
      </c>
      <c r="AB42" s="49">
        <v>0.63888888888888895</v>
      </c>
      <c r="AC42" s="49">
        <v>0.61851851851851902</v>
      </c>
      <c r="AD42" s="49">
        <v>0.63703703703703696</v>
      </c>
      <c r="AE42" s="49">
        <v>0.61851851851851902</v>
      </c>
      <c r="AF42" s="49">
        <v>0.76060606060606095</v>
      </c>
      <c r="AG42" s="49">
        <v>0.763636363636364</v>
      </c>
      <c r="AH42" s="49">
        <v>0.76969696969696999</v>
      </c>
      <c r="AI42" s="49">
        <v>0.77878787878787903</v>
      </c>
      <c r="AJ42" s="49">
        <v>0.57500211386024003</v>
      </c>
      <c r="AK42" s="49">
        <v>0.54839489876841496</v>
      </c>
      <c r="AL42" s="49">
        <v>0.50404347817913697</v>
      </c>
      <c r="AM42" s="49">
        <v>0.58466607661179304</v>
      </c>
      <c r="AN42" s="49">
        <v>0.68301101809102505</v>
      </c>
      <c r="AO42" s="49">
        <v>0.70063007179066294</v>
      </c>
      <c r="AP42" s="49">
        <v>0.70270768665106198</v>
      </c>
      <c r="AQ42" s="49">
        <v>0.81084915110446398</v>
      </c>
      <c r="AR42" s="49">
        <v>0.49633699633699602</v>
      </c>
      <c r="AS42" s="49">
        <v>0.507692307692308</v>
      </c>
      <c r="AT42" s="49">
        <v>0.38974358974359002</v>
      </c>
      <c r="AU42" s="49">
        <v>0.497435897435897</v>
      </c>
      <c r="AV42" s="49">
        <v>0.54963369963370001</v>
      </c>
      <c r="AW42" s="49">
        <v>0.58571428571428596</v>
      </c>
      <c r="AX42" s="49">
        <v>0.54542124542124504</v>
      </c>
      <c r="AY42" s="49">
        <v>0.68229548229548198</v>
      </c>
      <c r="AZ42" s="49">
        <v>1.8888888888888899</v>
      </c>
      <c r="BA42" s="49">
        <v>2.0222222222222199</v>
      </c>
      <c r="BB42" s="49">
        <v>1.9111111111111101</v>
      </c>
      <c r="BC42" s="49">
        <v>2.0444444444444398</v>
      </c>
      <c r="BD42" s="49">
        <v>1.5636363636363599</v>
      </c>
      <c r="BE42" s="49">
        <v>1.5454545454545501</v>
      </c>
      <c r="BF42" s="49">
        <v>1.5090909090909099</v>
      </c>
      <c r="BG42" s="49">
        <v>1.4545454545454499</v>
      </c>
      <c r="BH42" s="49">
        <v>35.446749196200201</v>
      </c>
      <c r="BI42" s="49">
        <v>11.967059300474499</v>
      </c>
      <c r="BJ42" s="49">
        <v>3.9279512935734902</v>
      </c>
      <c r="BK42" s="49">
        <v>1.76402748894207</v>
      </c>
      <c r="BL42" s="49">
        <v>157.32509161693599</v>
      </c>
      <c r="BM42" s="49">
        <v>78.039179907339701</v>
      </c>
      <c r="BN42" s="49">
        <v>15.392597603962001</v>
      </c>
      <c r="BO42" s="49">
        <v>5.7658025339677597</v>
      </c>
      <c r="BP42" s="49">
        <v>3.0233615404703</v>
      </c>
      <c r="BQ42" s="49">
        <v>307.495395898335</v>
      </c>
      <c r="BR42" s="49">
        <v>0.22530893725781401</v>
      </c>
      <c r="BS42" s="49">
        <v>7.6065802202820804E-2</v>
      </c>
      <c r="BT42" s="49">
        <v>2.4967099991509801E-2</v>
      </c>
      <c r="BU42" s="49">
        <v>1.12126264845103E-2</v>
      </c>
      <c r="BV42" s="49">
        <v>0.25378975083302102</v>
      </c>
      <c r="BW42" s="49">
        <v>5.0057977482860103E-2</v>
      </c>
      <c r="BX42" s="49">
        <v>1.8750858096991001E-2</v>
      </c>
      <c r="BY42" s="49">
        <v>9.8322172650347102E-3</v>
      </c>
    </row>
    <row r="43" spans="1:77">
      <c r="A43" s="80">
        <v>41</v>
      </c>
      <c r="B43" s="49" t="s">
        <v>644</v>
      </c>
      <c r="C43" s="9">
        <v>2</v>
      </c>
      <c r="D43" s="49" t="s">
        <v>736</v>
      </c>
      <c r="E43" s="30" t="s">
        <v>737</v>
      </c>
      <c r="F43" s="30">
        <v>67144581</v>
      </c>
      <c r="G43" s="75">
        <v>31.714285714285715</v>
      </c>
      <c r="H43" s="80">
        <v>35.428571428571431</v>
      </c>
      <c r="I43" s="77">
        <v>35.092348284960423</v>
      </c>
      <c r="J43" s="30">
        <v>3032</v>
      </c>
      <c r="K43" s="77">
        <v>35.092348284960423</v>
      </c>
      <c r="L43" s="49">
        <v>0.273402216070875</v>
      </c>
      <c r="M43" s="49">
        <v>0.23797089495759599</v>
      </c>
      <c r="N43" s="49">
        <v>0.27672402293620202</v>
      </c>
      <c r="O43" s="49">
        <v>0.24591425273602399</v>
      </c>
      <c r="P43" s="49">
        <v>0.43565398951935302</v>
      </c>
      <c r="Q43" s="49">
        <v>0.38811866224549002</v>
      </c>
      <c r="R43" s="49">
        <v>0.38325952862653101</v>
      </c>
      <c r="S43" s="49">
        <v>0.37748755530667999</v>
      </c>
      <c r="T43" s="49">
        <v>0.44455653537447498</v>
      </c>
      <c r="U43" s="49">
        <v>0.27071921518340503</v>
      </c>
      <c r="V43" s="49">
        <v>0.26000045055441701</v>
      </c>
      <c r="W43" s="49">
        <v>0.35328378315814002</v>
      </c>
      <c r="X43" s="49">
        <v>0.46442785424001798</v>
      </c>
      <c r="Y43" s="49">
        <v>0.36542254588529</v>
      </c>
      <c r="Z43" s="49">
        <v>0.41194679698850301</v>
      </c>
      <c r="AA43" s="49">
        <v>0.43002872574713602</v>
      </c>
      <c r="AB43" s="49">
        <v>0.69369369369369405</v>
      </c>
      <c r="AC43" s="49">
        <v>0.67567567567567599</v>
      </c>
      <c r="AD43" s="49">
        <v>0.625925925925926</v>
      </c>
      <c r="AE43" s="49">
        <v>0.69212962962962998</v>
      </c>
      <c r="AF43" s="49">
        <v>0.69191919191919204</v>
      </c>
      <c r="AG43" s="49">
        <v>0.71338383838383901</v>
      </c>
      <c r="AH43" s="49">
        <v>0.71717171717171702</v>
      </c>
      <c r="AI43" s="49">
        <v>0.71212121212121204</v>
      </c>
      <c r="AJ43" s="49">
        <v>0.53197177285768205</v>
      </c>
      <c r="AK43" s="49">
        <v>0.35441952494244799</v>
      </c>
      <c r="AL43" s="49">
        <v>0.324708240193812</v>
      </c>
      <c r="AM43" s="49">
        <v>0.45552128912430601</v>
      </c>
      <c r="AN43" s="49">
        <v>0.61006362078399501</v>
      </c>
      <c r="AO43" s="49">
        <v>0.55557321395631398</v>
      </c>
      <c r="AP43" s="49">
        <v>0.64121103586508399</v>
      </c>
      <c r="AQ43" s="49">
        <v>0.67987437984146704</v>
      </c>
      <c r="AR43" s="49">
        <v>0.42307692307692302</v>
      </c>
      <c r="AS43" s="49">
        <v>0.29743589743589799</v>
      </c>
      <c r="AT43" s="49">
        <v>0.27179487179487199</v>
      </c>
      <c r="AU43" s="49">
        <v>0.37692307692307703</v>
      </c>
      <c r="AV43" s="49">
        <v>0.51245421245421197</v>
      </c>
      <c r="AW43" s="49">
        <v>0.45934065934065899</v>
      </c>
      <c r="AX43" s="49">
        <v>0.498107448107448</v>
      </c>
      <c r="AY43" s="49">
        <v>0.53650793650793704</v>
      </c>
      <c r="AZ43" s="49">
        <v>1.7027027027027</v>
      </c>
      <c r="BA43" s="49">
        <v>1.8378378378378399</v>
      </c>
      <c r="BB43" s="49">
        <v>2</v>
      </c>
      <c r="BC43" s="49">
        <v>1.75</v>
      </c>
      <c r="BD43" s="49">
        <v>1.8181818181818199</v>
      </c>
      <c r="BE43" s="49">
        <v>1.6666666666666701</v>
      </c>
      <c r="BF43" s="49">
        <v>1.63636363636364</v>
      </c>
      <c r="BG43" s="49">
        <v>1.6666666666666701</v>
      </c>
      <c r="BH43" s="49">
        <v>51.345516721107501</v>
      </c>
      <c r="BI43" s="49">
        <v>9.9471050913419301</v>
      </c>
      <c r="BJ43" s="49">
        <v>4.56612068756339</v>
      </c>
      <c r="BK43" s="49">
        <v>2.5318910189714701</v>
      </c>
      <c r="BL43" s="49">
        <v>284.255786336276</v>
      </c>
      <c r="BM43" s="49">
        <v>84.127466086664995</v>
      </c>
      <c r="BN43" s="49">
        <v>13.3769443794908</v>
      </c>
      <c r="BO43" s="49">
        <v>4.1993642333445198</v>
      </c>
      <c r="BP43" s="49">
        <v>2.9740889598314402</v>
      </c>
      <c r="BQ43" s="49">
        <v>429.08679622252498</v>
      </c>
      <c r="BR43" s="49">
        <v>0.18063138619934899</v>
      </c>
      <c r="BS43" s="49">
        <v>3.4993500816811698E-2</v>
      </c>
      <c r="BT43" s="49">
        <v>1.6063422125598002E-2</v>
      </c>
      <c r="BU43" s="49">
        <v>8.9070869993697604E-3</v>
      </c>
      <c r="BV43" s="49">
        <v>0.196061651925165</v>
      </c>
      <c r="BW43" s="49">
        <v>3.1175381058692601E-2</v>
      </c>
      <c r="BX43" s="49">
        <v>9.7867477403492994E-3</v>
      </c>
      <c r="BY43" s="49">
        <v>6.9312059611572703E-3</v>
      </c>
    </row>
    <row r="44" spans="1:77">
      <c r="A44" s="80">
        <v>42</v>
      </c>
      <c r="B44" s="49" t="s">
        <v>644</v>
      </c>
      <c r="C44" s="9">
        <v>2</v>
      </c>
      <c r="D44" s="49" t="s">
        <v>746</v>
      </c>
      <c r="E44" s="30" t="s">
        <v>219</v>
      </c>
      <c r="F44" s="30">
        <v>66880271</v>
      </c>
      <c r="G44" s="75">
        <v>30.714285714285715</v>
      </c>
      <c r="H44" s="49">
        <v>33.714285714285722</v>
      </c>
      <c r="I44" s="77">
        <v>15.824665676077265</v>
      </c>
      <c r="J44" s="30">
        <v>10768</v>
      </c>
      <c r="K44" s="77">
        <v>15.824665676077265</v>
      </c>
      <c r="L44" s="49">
        <v>0.16678838942864099</v>
      </c>
      <c r="M44" s="49">
        <v>0.19974656331980301</v>
      </c>
      <c r="N44" s="49">
        <v>0.19682986365998301</v>
      </c>
      <c r="O44" s="49">
        <v>0.19524675466486199</v>
      </c>
      <c r="P44" s="49">
        <v>0.32653651594442601</v>
      </c>
      <c r="Q44" s="49">
        <v>0.30889727821473301</v>
      </c>
      <c r="R44" s="49">
        <v>0.29986107807733198</v>
      </c>
      <c r="S44" s="49">
        <v>0.29208443708069898</v>
      </c>
      <c r="T44" s="49">
        <v>0.48484196963654402</v>
      </c>
      <c r="U44" s="49">
        <v>0.39219911889088399</v>
      </c>
      <c r="V44" s="49">
        <v>0.32089964062608001</v>
      </c>
      <c r="W44" s="49">
        <v>0.34911580796936498</v>
      </c>
      <c r="X44" s="49">
        <v>0.47560763389625499</v>
      </c>
      <c r="Y44" s="49">
        <v>0.38992211622435802</v>
      </c>
      <c r="Z44" s="49">
        <v>0.44281360683502602</v>
      </c>
      <c r="AA44" s="49">
        <v>0.39548282404374802</v>
      </c>
      <c r="AB44" s="49">
        <v>0.83333333333333304</v>
      </c>
      <c r="AC44" s="49">
        <v>0.61111111111111105</v>
      </c>
      <c r="AD44" s="49">
        <v>0.61481481481481504</v>
      </c>
      <c r="AE44" s="49">
        <v>0.62222222222222201</v>
      </c>
      <c r="AF44" s="49">
        <v>0.77272727272727304</v>
      </c>
      <c r="AG44" s="49">
        <v>0.71969696969696995</v>
      </c>
      <c r="AH44" s="49">
        <v>0.70833333333333304</v>
      </c>
      <c r="AI44" s="49">
        <v>0.71969696969696995</v>
      </c>
      <c r="AJ44" s="49">
        <v>0.73644885533785398</v>
      </c>
      <c r="AK44" s="49">
        <v>0.65784252430152601</v>
      </c>
      <c r="AL44" s="49">
        <v>0.53769027798909097</v>
      </c>
      <c r="AM44" s="49">
        <v>0.60839083936198302</v>
      </c>
      <c r="AN44" s="49">
        <v>0.78858314046585198</v>
      </c>
      <c r="AO44" s="49">
        <v>0.76549565653855201</v>
      </c>
      <c r="AP44" s="49">
        <v>0.87252092544587301</v>
      </c>
      <c r="AQ44" s="49">
        <v>0.80384284666206696</v>
      </c>
      <c r="AR44" s="49">
        <v>0.61282051282051297</v>
      </c>
      <c r="AS44" s="49">
        <v>0.58205128205128198</v>
      </c>
      <c r="AT44" s="49">
        <v>0.505128205128205</v>
      </c>
      <c r="AU44" s="49">
        <v>0.502564102564103</v>
      </c>
      <c r="AV44" s="49">
        <v>0.57893772893772899</v>
      </c>
      <c r="AW44" s="49">
        <v>0.57692307692307698</v>
      </c>
      <c r="AX44" s="49">
        <v>0.694139194139194</v>
      </c>
      <c r="AY44" s="49">
        <v>0.59706959706959695</v>
      </c>
      <c r="AZ44" s="49">
        <v>1.3333333333333299</v>
      </c>
      <c r="BA44" s="49">
        <v>2.1111111111111098</v>
      </c>
      <c r="BB44" s="49">
        <v>2.0888888888888899</v>
      </c>
      <c r="BC44" s="49">
        <v>2.0222222222222199</v>
      </c>
      <c r="BD44" s="49">
        <v>1.4909090909090901</v>
      </c>
      <c r="BE44" s="49">
        <v>1.62121212121212</v>
      </c>
      <c r="BF44" s="49">
        <v>1.6969696969696999</v>
      </c>
      <c r="BG44" s="49">
        <v>1.62121212121212</v>
      </c>
      <c r="BH44" s="49">
        <v>22.5072522884116</v>
      </c>
      <c r="BI44" s="49">
        <v>8.4922318249592497</v>
      </c>
      <c r="BJ44" s="49">
        <v>2.3627519798387899</v>
      </c>
      <c r="BK44" s="49">
        <v>1.4975608452059299</v>
      </c>
      <c r="BL44" s="49">
        <v>118.816850720792</v>
      </c>
      <c r="BM44" s="49">
        <v>41.586235407564097</v>
      </c>
      <c r="BN44" s="49">
        <v>13.360286993185699</v>
      </c>
      <c r="BO44" s="49">
        <v>4.7953782679752797</v>
      </c>
      <c r="BP44" s="49">
        <v>2.7714758051739201</v>
      </c>
      <c r="BQ44" s="49">
        <v>261.27196669253198</v>
      </c>
      <c r="BR44" s="49">
        <v>0.189428116903228</v>
      </c>
      <c r="BS44" s="49">
        <v>7.1473295020376706E-2</v>
      </c>
      <c r="BT44" s="49">
        <v>1.98856640746271E-2</v>
      </c>
      <c r="BU44" s="49">
        <v>1.2603943263275399E-2</v>
      </c>
      <c r="BV44" s="49">
        <v>0.159168378965445</v>
      </c>
      <c r="BW44" s="49">
        <v>5.1135554886790599E-2</v>
      </c>
      <c r="BX44" s="49">
        <v>1.83539716437261E-2</v>
      </c>
      <c r="BY44" s="49">
        <v>1.06076279068831E-2</v>
      </c>
    </row>
    <row r="45" spans="1:77">
      <c r="A45" s="80">
        <v>43</v>
      </c>
      <c r="B45" s="49" t="s">
        <v>646</v>
      </c>
      <c r="C45" s="9">
        <v>1</v>
      </c>
      <c r="D45" s="49" t="s">
        <v>647</v>
      </c>
      <c r="E45" s="30" t="s">
        <v>213</v>
      </c>
      <c r="F45" s="30">
        <v>67140215</v>
      </c>
      <c r="G45" s="75">
        <v>27.571428571428573</v>
      </c>
      <c r="H45" s="49">
        <v>35.428571428571431</v>
      </c>
      <c r="I45" s="77">
        <v>0</v>
      </c>
      <c r="J45" s="30">
        <v>8528</v>
      </c>
      <c r="K45" s="77">
        <v>0</v>
      </c>
      <c r="L45" s="49">
        <v>0.30409321513225301</v>
      </c>
      <c r="M45" s="49">
        <v>0.34648849754417899</v>
      </c>
      <c r="N45" s="49">
        <v>0.35666278844766502</v>
      </c>
      <c r="O45" s="49">
        <v>0.350842388865239</v>
      </c>
      <c r="P45" s="49">
        <v>0.48445638513119899</v>
      </c>
      <c r="Q45" s="49">
        <v>0.50082324795678701</v>
      </c>
      <c r="R45" s="49">
        <v>0.524798629090518</v>
      </c>
      <c r="S45" s="49">
        <v>0.52258936844939996</v>
      </c>
      <c r="T45" s="49">
        <v>0.483518692610099</v>
      </c>
      <c r="U45" s="49">
        <v>0.495239502789945</v>
      </c>
      <c r="V45" s="49">
        <v>0.50532233148878103</v>
      </c>
      <c r="W45" s="49">
        <v>0.49130110519777398</v>
      </c>
      <c r="X45" s="49">
        <v>0.62789798103797201</v>
      </c>
      <c r="Y45" s="49">
        <v>0.65728112775863201</v>
      </c>
      <c r="Z45" s="49">
        <v>0.686538896910315</v>
      </c>
      <c r="AA45" s="49">
        <v>0.68321237397275403</v>
      </c>
      <c r="AB45" s="49">
        <v>0.59592592592592597</v>
      </c>
      <c r="AC45" s="49">
        <v>0.54424242424242397</v>
      </c>
      <c r="AD45" s="49">
        <v>0.54424242424242397</v>
      </c>
      <c r="AE45" s="49">
        <v>0.53969696969697001</v>
      </c>
      <c r="AF45" s="49">
        <v>0.71969696969696995</v>
      </c>
      <c r="AG45" s="49">
        <v>0.709595959595959</v>
      </c>
      <c r="AH45" s="49">
        <v>0.709595959595959</v>
      </c>
      <c r="AI45" s="49">
        <v>0.709595959595959</v>
      </c>
      <c r="AJ45" s="49">
        <v>0.54233332826826297</v>
      </c>
      <c r="AK45" s="49">
        <v>0.54103251486078496</v>
      </c>
      <c r="AL45" s="49">
        <v>0.54103251486078496</v>
      </c>
      <c r="AM45" s="49">
        <v>0.53122431512728896</v>
      </c>
      <c r="AN45" s="49">
        <v>0.78157838521062994</v>
      </c>
      <c r="AO45" s="49">
        <v>0.78373749193825804</v>
      </c>
      <c r="AP45" s="49">
        <v>0.78373749193825804</v>
      </c>
      <c r="AQ45" s="49">
        <v>0.78373749193825804</v>
      </c>
      <c r="AR45" s="49">
        <v>0.482051282051282</v>
      </c>
      <c r="AS45" s="49">
        <v>0.47948717948718</v>
      </c>
      <c r="AT45" s="49">
        <v>0.47948717948718</v>
      </c>
      <c r="AU45" s="49">
        <v>0.46153846153846201</v>
      </c>
      <c r="AV45" s="49">
        <v>0.65982905982906004</v>
      </c>
      <c r="AW45" s="49">
        <v>0.63956043956043995</v>
      </c>
      <c r="AX45" s="49">
        <v>0.63956043956043995</v>
      </c>
      <c r="AY45" s="49">
        <v>0.63956043956043995</v>
      </c>
      <c r="AZ45" s="49">
        <v>2.2666666666666702</v>
      </c>
      <c r="BA45" s="49">
        <v>2.52727272727273</v>
      </c>
      <c r="BB45" s="49">
        <v>2.52727272727273</v>
      </c>
      <c r="BC45" s="49">
        <v>2.5636363636363599</v>
      </c>
      <c r="BD45" s="49">
        <v>1.62121212121212</v>
      </c>
      <c r="BE45" s="49">
        <v>1.6818181818181801</v>
      </c>
      <c r="BF45" s="49">
        <v>1.6818181818181801</v>
      </c>
      <c r="BG45" s="49">
        <v>1.6818181818181801</v>
      </c>
      <c r="BH45" s="49">
        <v>36.336232580710401</v>
      </c>
      <c r="BI45" s="49">
        <v>21.670398566483001</v>
      </c>
      <c r="BJ45" s="49">
        <v>7.1964729859528198</v>
      </c>
      <c r="BK45" s="49">
        <v>3.3760940614335402</v>
      </c>
      <c r="BL45" s="49">
        <v>178.10310092060101</v>
      </c>
      <c r="BM45" s="49">
        <v>39.295543594911997</v>
      </c>
      <c r="BN45" s="49">
        <v>18.138413546195601</v>
      </c>
      <c r="BO45" s="49">
        <v>6.3293836731582598</v>
      </c>
      <c r="BP45" s="49">
        <v>3.0743224731375598</v>
      </c>
      <c r="BQ45" s="49">
        <v>187.53054135286999</v>
      </c>
      <c r="BR45" s="49">
        <v>0.20401796708137801</v>
      </c>
      <c r="BS45" s="49">
        <v>0.12167333670481</v>
      </c>
      <c r="BT45" s="49">
        <v>4.0406219480485298E-2</v>
      </c>
      <c r="BU45" s="49">
        <v>1.8955840993125798E-2</v>
      </c>
      <c r="BV45" s="49">
        <v>0.20954210077691299</v>
      </c>
      <c r="BW45" s="49">
        <v>9.6722450729053E-2</v>
      </c>
      <c r="BX45" s="49">
        <v>3.3751215282040302E-2</v>
      </c>
      <c r="BY45" s="49">
        <v>1.6393716196620601E-2</v>
      </c>
    </row>
    <row r="46" spans="1:77">
      <c r="A46" s="80">
        <v>44</v>
      </c>
      <c r="B46" s="49" t="s">
        <v>646</v>
      </c>
      <c r="C46" s="9">
        <v>1</v>
      </c>
      <c r="D46" s="49" t="s">
        <v>650</v>
      </c>
      <c r="E46" s="30" t="s">
        <v>651</v>
      </c>
      <c r="F46" s="30">
        <v>67086596</v>
      </c>
      <c r="G46" s="75">
        <v>33.857142857142854</v>
      </c>
      <c r="H46" s="80">
        <v>37</v>
      </c>
      <c r="I46" s="77">
        <v>0</v>
      </c>
      <c r="J46" s="30">
        <v>4640</v>
      </c>
      <c r="K46" s="77">
        <v>0</v>
      </c>
      <c r="L46" s="49">
        <v>0.42233377434508501</v>
      </c>
      <c r="M46" s="49">
        <v>0.28483417858587301</v>
      </c>
      <c r="N46" s="49">
        <v>0.40459400213580998</v>
      </c>
      <c r="O46" s="49">
        <v>0.40709398188812501</v>
      </c>
      <c r="P46" s="49">
        <v>0.54955966585956095</v>
      </c>
      <c r="Q46" s="49">
        <v>0.57144348504902398</v>
      </c>
      <c r="R46" s="49">
        <v>0.59265382582628301</v>
      </c>
      <c r="S46" s="49">
        <v>0.56428616432619105</v>
      </c>
      <c r="T46" s="49">
        <v>0.43052347470175201</v>
      </c>
      <c r="U46" s="49">
        <v>0.444523638107368</v>
      </c>
      <c r="V46" s="49">
        <v>0.34601016542503998</v>
      </c>
      <c r="W46" s="49">
        <v>0.30820876789262402</v>
      </c>
      <c r="X46" s="49">
        <v>0.77417009859263097</v>
      </c>
      <c r="Y46" s="49">
        <v>0.72017755825005603</v>
      </c>
      <c r="Z46" s="49">
        <v>0.74783459558483201</v>
      </c>
      <c r="AA46" s="49">
        <v>0.72883532978610299</v>
      </c>
      <c r="AB46" s="49">
        <v>0.46892551892551898</v>
      </c>
      <c r="AC46" s="49">
        <v>0.68518518518518501</v>
      </c>
      <c r="AD46" s="49">
        <v>0.44028286528286598</v>
      </c>
      <c r="AE46" s="49">
        <v>0.45154151404151399</v>
      </c>
      <c r="AF46" s="49">
        <v>0.670940170940171</v>
      </c>
      <c r="AG46" s="49">
        <v>0.68162393162393098</v>
      </c>
      <c r="AH46" s="49">
        <v>0.68162393162393098</v>
      </c>
      <c r="AI46" s="49">
        <v>0.670940170940171</v>
      </c>
      <c r="AJ46" s="49">
        <v>0.47660002697354398</v>
      </c>
      <c r="AK46" s="49">
        <v>0.49526110941271301</v>
      </c>
      <c r="AL46" s="49">
        <v>0.37627697702400997</v>
      </c>
      <c r="AM46" s="49">
        <v>0.34046030361395802</v>
      </c>
      <c r="AN46" s="49">
        <v>0.94075609749011102</v>
      </c>
      <c r="AO46" s="49">
        <v>0.85335406655767498</v>
      </c>
      <c r="AP46" s="49">
        <v>0.857070617188464</v>
      </c>
      <c r="AQ46" s="49">
        <v>0.86330935814784904</v>
      </c>
      <c r="AR46" s="49">
        <v>0.43589743589743601</v>
      </c>
      <c r="AS46" s="49">
        <v>0.38461538461538503</v>
      </c>
      <c r="AT46" s="49">
        <v>0.29487179487179499</v>
      </c>
      <c r="AU46" s="49">
        <v>0.269230769230769</v>
      </c>
      <c r="AV46" s="49">
        <v>0.73589743589743595</v>
      </c>
      <c r="AW46" s="49">
        <v>0.75191475191475199</v>
      </c>
      <c r="AX46" s="49">
        <v>0.76993006993006996</v>
      </c>
      <c r="AY46" s="49">
        <v>0.71385836385836399</v>
      </c>
      <c r="AZ46" s="49">
        <v>2.9230769230769198</v>
      </c>
      <c r="BA46" s="49">
        <v>1.80555555555556</v>
      </c>
      <c r="BB46" s="49">
        <v>3.4871794871794899</v>
      </c>
      <c r="BC46" s="49">
        <v>3.2692307692307701</v>
      </c>
      <c r="BD46" s="49">
        <v>1.7692307692307701</v>
      </c>
      <c r="BE46" s="49">
        <v>1.70512820512821</v>
      </c>
      <c r="BF46" s="49">
        <v>1.70512820512821</v>
      </c>
      <c r="BG46" s="49">
        <v>1.7692307692307701</v>
      </c>
      <c r="BH46" s="49">
        <v>99.864539109422097</v>
      </c>
      <c r="BI46" s="49">
        <v>56.598796807610597</v>
      </c>
      <c r="BJ46" s="49">
        <v>21.282515927334099</v>
      </c>
      <c r="BK46" s="49">
        <v>9.1787157349394306</v>
      </c>
      <c r="BL46" s="49">
        <v>412.935003655586</v>
      </c>
      <c r="BM46" s="49">
        <v>121.80322437424201</v>
      </c>
      <c r="BN46" s="49">
        <v>62.953663145567603</v>
      </c>
      <c r="BO46" s="49">
        <v>21.863156854505199</v>
      </c>
      <c r="BP46" s="49">
        <v>10.9039547801171</v>
      </c>
      <c r="BQ46" s="49">
        <v>555.83405171653203</v>
      </c>
      <c r="BR46" s="49">
        <v>0.24184081810781899</v>
      </c>
      <c r="BS46" s="49">
        <v>0.13706466225086</v>
      </c>
      <c r="BT46" s="49">
        <v>5.1539626669879199E-2</v>
      </c>
      <c r="BU46" s="49">
        <v>2.22279914603584E-2</v>
      </c>
      <c r="BV46" s="49">
        <v>0.219135952534912</v>
      </c>
      <c r="BW46" s="49">
        <v>0.113259817298263</v>
      </c>
      <c r="BX46" s="49">
        <v>3.9333964493515901E-2</v>
      </c>
      <c r="BY46" s="49">
        <v>1.96172845950035E-2</v>
      </c>
    </row>
    <row r="47" spans="1:77">
      <c r="A47" s="80">
        <v>45</v>
      </c>
      <c r="B47" s="49" t="s">
        <v>646</v>
      </c>
      <c r="C47" s="9">
        <v>1</v>
      </c>
      <c r="D47" s="49" t="s">
        <v>662</v>
      </c>
      <c r="E47" s="30" t="s">
        <v>663</v>
      </c>
      <c r="F47" s="30">
        <v>67210670</v>
      </c>
      <c r="G47" s="75">
        <v>33.142857142857146</v>
      </c>
      <c r="H47" s="80">
        <v>35.285714285714278</v>
      </c>
      <c r="I47" s="77">
        <v>0</v>
      </c>
      <c r="J47" s="30">
        <v>5318</v>
      </c>
      <c r="K47" s="77">
        <v>0</v>
      </c>
      <c r="L47" s="49">
        <v>0.24656412157444399</v>
      </c>
      <c r="M47" s="49">
        <v>0.21418679720015299</v>
      </c>
      <c r="N47" s="49">
        <v>0.23773991554663099</v>
      </c>
      <c r="O47" s="49">
        <v>0.27235569489156902</v>
      </c>
      <c r="P47" s="49">
        <v>0.387951041219457</v>
      </c>
      <c r="Q47" s="49">
        <v>0.32698203063841502</v>
      </c>
      <c r="R47" s="49">
        <v>0.31242599486487299</v>
      </c>
      <c r="S47" s="49">
        <v>0.30423322686566601</v>
      </c>
      <c r="T47" s="49">
        <v>0.43607101498486001</v>
      </c>
      <c r="U47" s="49">
        <v>0.34917919859364999</v>
      </c>
      <c r="V47" s="49">
        <v>0.35449459539118799</v>
      </c>
      <c r="W47" s="49">
        <v>0.26529894590547798</v>
      </c>
      <c r="X47" s="49">
        <v>0.51421690295301603</v>
      </c>
      <c r="Y47" s="49">
        <v>0.36875569255041402</v>
      </c>
      <c r="Z47" s="49">
        <v>0.34492653146685198</v>
      </c>
      <c r="AA47" s="49">
        <v>0.37726657929941498</v>
      </c>
      <c r="AB47" s="49">
        <v>0.69907407407407396</v>
      </c>
      <c r="AC47" s="49">
        <v>0.68468468468468502</v>
      </c>
      <c r="AD47" s="49">
        <v>0.61594202898550798</v>
      </c>
      <c r="AE47" s="49">
        <v>0.50101010101010102</v>
      </c>
      <c r="AF47" s="49">
        <v>0.76969696969696999</v>
      </c>
      <c r="AG47" s="49">
        <v>0.69318181818181801</v>
      </c>
      <c r="AH47" s="49">
        <v>0.71212121212121204</v>
      </c>
      <c r="AI47" s="49">
        <v>0.69065656565656597</v>
      </c>
      <c r="AJ47" s="49">
        <v>0.55374973361330604</v>
      </c>
      <c r="AK47" s="49">
        <v>0.51119722938823497</v>
      </c>
      <c r="AL47" s="49">
        <v>0.51784542388072496</v>
      </c>
      <c r="AM47" s="49">
        <v>0.36923076923076897</v>
      </c>
      <c r="AN47" s="49">
        <v>0.70857156878503802</v>
      </c>
      <c r="AO47" s="49">
        <v>0.63863090709942405</v>
      </c>
      <c r="AP47" s="49">
        <v>0.63400521587647996</v>
      </c>
      <c r="AQ47" s="49">
        <v>0.71155258317749703</v>
      </c>
      <c r="AR47" s="49">
        <v>0.44871794871794901</v>
      </c>
      <c r="AS47" s="49">
        <v>0.43589743589743601</v>
      </c>
      <c r="AT47" s="49">
        <v>0.47435897435897401</v>
      </c>
      <c r="AU47" s="49">
        <v>0.36923076923076897</v>
      </c>
      <c r="AV47" s="49">
        <v>0.56465201465201498</v>
      </c>
      <c r="AW47" s="49">
        <v>0.494871794871795</v>
      </c>
      <c r="AX47" s="49">
        <v>0.53327228327228304</v>
      </c>
      <c r="AY47" s="49">
        <v>0.61336996336996297</v>
      </c>
      <c r="AZ47" s="49">
        <v>1.69444444444444</v>
      </c>
      <c r="BA47" s="49">
        <v>1.7567567567567599</v>
      </c>
      <c r="BB47" s="49">
        <v>2.0434782608695699</v>
      </c>
      <c r="BC47" s="49">
        <v>2.7878787878787898</v>
      </c>
      <c r="BD47" s="49">
        <v>1.5090909090909099</v>
      </c>
      <c r="BE47" s="49">
        <v>1.8181818181818199</v>
      </c>
      <c r="BF47" s="49">
        <v>1.6666666666666701</v>
      </c>
      <c r="BG47" s="49">
        <v>1.8333333333333299</v>
      </c>
      <c r="BH47" s="49">
        <v>30.780309898362599</v>
      </c>
      <c r="BI47" s="49">
        <v>6.6615575464429897</v>
      </c>
      <c r="BJ47" s="49">
        <v>2.9695377503913898</v>
      </c>
      <c r="BK47" s="49">
        <v>1.8692898068635</v>
      </c>
      <c r="BL47" s="49">
        <v>166.48578195444199</v>
      </c>
      <c r="BM47" s="49">
        <v>51.476148239109797</v>
      </c>
      <c r="BN47" s="49">
        <v>6.63541920037619</v>
      </c>
      <c r="BO47" s="49">
        <v>2.5622705851233198</v>
      </c>
      <c r="BP47" s="49">
        <v>1.89963342650565</v>
      </c>
      <c r="BQ47" s="49">
        <v>334.92550893543398</v>
      </c>
      <c r="BR47" s="49">
        <v>0.18488251391212199</v>
      </c>
      <c r="BS47" s="49">
        <v>4.0012771470574603E-2</v>
      </c>
      <c r="BT47" s="49">
        <v>1.78365846952864E-2</v>
      </c>
      <c r="BU47" s="49">
        <v>1.12279246006426E-2</v>
      </c>
      <c r="BV47" s="49">
        <v>0.153694319679404</v>
      </c>
      <c r="BW47" s="49">
        <v>1.9811626834477201E-2</v>
      </c>
      <c r="BX47" s="49">
        <v>7.6502700354700902E-3</v>
      </c>
      <c r="BY47" s="49">
        <v>5.6718087330632702E-3</v>
      </c>
    </row>
    <row r="48" spans="1:77">
      <c r="A48" s="80">
        <v>46</v>
      </c>
      <c r="B48" s="49" t="s">
        <v>646</v>
      </c>
      <c r="C48" s="9">
        <v>1</v>
      </c>
      <c r="D48" s="49" t="s">
        <v>666</v>
      </c>
      <c r="E48" s="30" t="s">
        <v>667</v>
      </c>
      <c r="F48" s="30">
        <v>67207539</v>
      </c>
      <c r="G48" s="75">
        <v>32.428571428571431</v>
      </c>
      <c r="H48" s="80">
        <v>36.285714285714278</v>
      </c>
      <c r="I48" s="77">
        <v>0</v>
      </c>
      <c r="J48" s="30">
        <v>4144</v>
      </c>
      <c r="K48" s="77">
        <v>0</v>
      </c>
      <c r="L48" s="49">
        <v>0.20086017971940101</v>
      </c>
      <c r="M48" s="49">
        <v>0.19138308945777299</v>
      </c>
      <c r="N48" s="49">
        <v>0.18554888497925201</v>
      </c>
      <c r="O48" s="49">
        <v>0.18029408353445101</v>
      </c>
      <c r="P48" s="49">
        <v>0.37731963913720801</v>
      </c>
      <c r="Q48" s="49">
        <v>0.35648957367876799</v>
      </c>
      <c r="R48" s="49">
        <v>0.33962323764315799</v>
      </c>
      <c r="S48" s="49">
        <v>0.31340323485740701</v>
      </c>
      <c r="T48" s="49">
        <v>0.44440130127917199</v>
      </c>
      <c r="U48" s="49">
        <v>0.403666200091369</v>
      </c>
      <c r="V48" s="49">
        <v>0.31275418789474202</v>
      </c>
      <c r="W48" s="49">
        <v>0.37929071816859899</v>
      </c>
      <c r="X48" s="49">
        <v>0.53230149243884906</v>
      </c>
      <c r="Y48" s="49">
        <v>0.50940439826341799</v>
      </c>
      <c r="Z48" s="49">
        <v>0.37497766909873198</v>
      </c>
      <c r="AA48" s="49">
        <v>0.45666672292970001</v>
      </c>
      <c r="AB48" s="49">
        <v>0.72580645161290303</v>
      </c>
      <c r="AC48" s="49">
        <v>0.78571428571428603</v>
      </c>
      <c r="AD48" s="49">
        <v>0.77011494252873602</v>
      </c>
      <c r="AE48" s="49">
        <v>0.78571428571428603</v>
      </c>
      <c r="AF48" s="49">
        <v>0.72474747474747503</v>
      </c>
      <c r="AG48" s="49">
        <v>0.71969696969696995</v>
      </c>
      <c r="AH48" s="49">
        <v>0.70454545454545503</v>
      </c>
      <c r="AI48" s="49">
        <v>0.78181818181818197</v>
      </c>
      <c r="AJ48" s="49">
        <v>0.61286491090650996</v>
      </c>
      <c r="AK48" s="49">
        <v>0.58950611715293999</v>
      </c>
      <c r="AL48" s="49">
        <v>0.465204908209156</v>
      </c>
      <c r="AM48" s="49">
        <v>0.58770677648220704</v>
      </c>
      <c r="AN48" s="49">
        <v>0.86293579949765797</v>
      </c>
      <c r="AO48" s="49">
        <v>0.87742754441183302</v>
      </c>
      <c r="AP48" s="49">
        <v>0.62976441132081196</v>
      </c>
      <c r="AQ48" s="49">
        <v>0.81742025186113998</v>
      </c>
      <c r="AR48" s="49">
        <v>0.55384615384615399</v>
      </c>
      <c r="AS48" s="49">
        <v>0.49706959706959702</v>
      </c>
      <c r="AT48" s="49">
        <v>0.41025641025641002</v>
      </c>
      <c r="AU48" s="49">
        <v>0.49706959706959702</v>
      </c>
      <c r="AV48" s="49">
        <v>0.64798534798534801</v>
      </c>
      <c r="AW48" s="49">
        <v>0.71709401709401699</v>
      </c>
      <c r="AX48" s="49">
        <v>0.54023199023198998</v>
      </c>
      <c r="AY48" s="49">
        <v>0.71684981684981697</v>
      </c>
      <c r="AZ48" s="49">
        <v>1.67741935483871</v>
      </c>
      <c r="BA48" s="49">
        <v>1.4285714285714299</v>
      </c>
      <c r="BB48" s="49">
        <v>1.4827586206896599</v>
      </c>
      <c r="BC48" s="49">
        <v>1.4285714285714299</v>
      </c>
      <c r="BD48" s="49">
        <v>1.5909090909090899</v>
      </c>
      <c r="BE48" s="49">
        <v>1.62121212121212</v>
      </c>
      <c r="BF48" s="49">
        <v>1.7121212121212099</v>
      </c>
      <c r="BG48" s="49">
        <v>1.4363636363636401</v>
      </c>
      <c r="BH48" s="49">
        <v>34.776979184334003</v>
      </c>
      <c r="BI48" s="49">
        <v>11.3570220716257</v>
      </c>
      <c r="BJ48" s="49">
        <v>4.2073385078708601</v>
      </c>
      <c r="BK48" s="49">
        <v>2.3931995629181699</v>
      </c>
      <c r="BL48" s="49">
        <v>173.664906458085</v>
      </c>
      <c r="BM48" s="49">
        <v>44.915381571021499</v>
      </c>
      <c r="BN48" s="49">
        <v>12.149475689576599</v>
      </c>
      <c r="BO48" s="49">
        <v>3.9319788373104698</v>
      </c>
      <c r="BP48" s="49">
        <v>2.5440540645658598</v>
      </c>
      <c r="BQ48" s="49">
        <v>198.43667118776901</v>
      </c>
      <c r="BR48" s="49">
        <v>0.20025334935891401</v>
      </c>
      <c r="BS48" s="49">
        <v>6.5396183392796195E-2</v>
      </c>
      <c r="BT48" s="49">
        <v>2.4226762871555299E-2</v>
      </c>
      <c r="BU48" s="49">
        <v>1.37805594217493E-2</v>
      </c>
      <c r="BV48" s="49">
        <v>0.22634617534236201</v>
      </c>
      <c r="BW48" s="49">
        <v>6.1225959984383203E-2</v>
      </c>
      <c r="BX48" s="49">
        <v>1.9814779263203099E-2</v>
      </c>
      <c r="BY48" s="49">
        <v>1.2820483478875599E-2</v>
      </c>
    </row>
    <row r="49" spans="1:77">
      <c r="A49" s="80">
        <v>47</v>
      </c>
      <c r="B49" s="49" t="s">
        <v>646</v>
      </c>
      <c r="C49" s="9">
        <v>1</v>
      </c>
      <c r="D49" s="49" t="s">
        <v>670</v>
      </c>
      <c r="E49" s="30" t="s">
        <v>211</v>
      </c>
      <c r="F49" s="30">
        <v>66917054</v>
      </c>
      <c r="G49" s="75">
        <v>26</v>
      </c>
      <c r="H49" s="49">
        <v>39</v>
      </c>
      <c r="I49" s="77">
        <v>0</v>
      </c>
      <c r="J49" s="30">
        <v>16988</v>
      </c>
      <c r="K49" s="77">
        <v>0</v>
      </c>
      <c r="L49" s="49">
        <v>0.19021038267819099</v>
      </c>
      <c r="M49" s="49">
        <v>0.18585430397305999</v>
      </c>
      <c r="N49" s="49">
        <v>0.20902332892446701</v>
      </c>
      <c r="O49" s="49">
        <v>0.20500358072864899</v>
      </c>
      <c r="P49" s="49">
        <v>0.44567700399779098</v>
      </c>
      <c r="Q49" s="49">
        <v>0.40650113353592598</v>
      </c>
      <c r="R49" s="49">
        <v>0.42647838429559998</v>
      </c>
      <c r="S49" s="49">
        <v>0.42369258836096801</v>
      </c>
      <c r="T49" s="49">
        <v>0.42197396885559801</v>
      </c>
      <c r="U49" s="49">
        <v>0.39855164062265203</v>
      </c>
      <c r="V49" s="49">
        <v>0.436616114290861</v>
      </c>
      <c r="W49" s="49">
        <v>0.42067449647900801</v>
      </c>
      <c r="X49" s="49">
        <v>0.64742771269218102</v>
      </c>
      <c r="Y49" s="49">
        <v>0.50631070258558597</v>
      </c>
      <c r="Z49" s="49">
        <v>0.54974438997404496</v>
      </c>
      <c r="AA49" s="49">
        <v>0.52518061482344902</v>
      </c>
      <c r="AB49" s="49">
        <v>0.75</v>
      </c>
      <c r="AC49" s="49">
        <v>0.76785714285714302</v>
      </c>
      <c r="AD49" s="49">
        <v>0.62435897435897503</v>
      </c>
      <c r="AE49" s="49">
        <v>0.62435897435897503</v>
      </c>
      <c r="AF49" s="49">
        <v>0.65170940170940095</v>
      </c>
      <c r="AG49" s="49">
        <v>0.64850427350427298</v>
      </c>
      <c r="AH49" s="49">
        <v>0.63333333333333297</v>
      </c>
      <c r="AI49" s="49">
        <v>0.658119658119658</v>
      </c>
      <c r="AJ49" s="49">
        <v>0.57692307692307698</v>
      </c>
      <c r="AK49" s="49">
        <v>0.56968585358882695</v>
      </c>
      <c r="AL49" s="49">
        <v>0.62096790487087905</v>
      </c>
      <c r="AM49" s="49">
        <v>0.62096790487087905</v>
      </c>
      <c r="AN49" s="49">
        <v>0.93340624923522197</v>
      </c>
      <c r="AO49" s="49">
        <v>0.77520408469443702</v>
      </c>
      <c r="AP49" s="49">
        <v>0.79888137190164799</v>
      </c>
      <c r="AQ49" s="49">
        <v>0.77893953213591605</v>
      </c>
      <c r="AR49" s="49">
        <v>0.57692307692307698</v>
      </c>
      <c r="AS49" s="49">
        <v>0.5</v>
      </c>
      <c r="AT49" s="49">
        <v>0.55128205128205099</v>
      </c>
      <c r="AU49" s="49">
        <v>0.55128205128205099</v>
      </c>
      <c r="AV49" s="49">
        <v>0.70219780219780203</v>
      </c>
      <c r="AW49" s="49">
        <v>0.61208791208791202</v>
      </c>
      <c r="AX49" s="49">
        <v>0.72307692307692295</v>
      </c>
      <c r="AY49" s="49">
        <v>0.66483516483516503</v>
      </c>
      <c r="AZ49" s="49">
        <v>1.6428571428571399</v>
      </c>
      <c r="BA49" s="49">
        <v>1.53571428571429</v>
      </c>
      <c r="BB49" s="49">
        <v>2.2307692307692299</v>
      </c>
      <c r="BC49" s="49">
        <v>2.2307692307692299</v>
      </c>
      <c r="BD49" s="49">
        <v>1.8974358974359</v>
      </c>
      <c r="BE49" s="49">
        <v>1.9358974358974399</v>
      </c>
      <c r="BF49" s="49">
        <v>2.0641025641025599</v>
      </c>
      <c r="BG49" s="49">
        <v>1.8589743589743599</v>
      </c>
      <c r="BH49" s="49">
        <v>50.736822103250603</v>
      </c>
      <c r="BI49" s="49">
        <v>13.7917692307369</v>
      </c>
      <c r="BJ49" s="49">
        <v>4.8593579045755098</v>
      </c>
      <c r="BK49" s="49">
        <v>2.2206758841340699</v>
      </c>
      <c r="BL49" s="49">
        <v>285.01119236108099</v>
      </c>
      <c r="BM49" s="49">
        <v>71.146224833711301</v>
      </c>
      <c r="BN49" s="49">
        <v>28.408040121181902</v>
      </c>
      <c r="BO49" s="49">
        <v>10.2386647290397</v>
      </c>
      <c r="BP49" s="49">
        <v>4.6696516159176698</v>
      </c>
      <c r="BQ49" s="49">
        <v>292.577593408018</v>
      </c>
      <c r="BR49" s="49">
        <v>0.17801694622214001</v>
      </c>
      <c r="BS49" s="49">
        <v>4.8390272383633602E-2</v>
      </c>
      <c r="BT49" s="49">
        <v>1.7049709045879099E-2</v>
      </c>
      <c r="BU49" s="49">
        <v>7.7915392225042599E-3</v>
      </c>
      <c r="BV49" s="49">
        <v>0.24317044926435399</v>
      </c>
      <c r="BW49" s="49">
        <v>9.7095747457205603E-2</v>
      </c>
      <c r="BX49" s="49">
        <v>3.4994698704631302E-2</v>
      </c>
      <c r="BY49" s="49">
        <v>1.5960386991787E-2</v>
      </c>
    </row>
    <row r="50" spans="1:77">
      <c r="A50" s="80">
        <v>48</v>
      </c>
      <c r="B50" s="49" t="s">
        <v>646</v>
      </c>
      <c r="C50" s="9">
        <v>1</v>
      </c>
      <c r="D50" s="49" t="s">
        <v>673</v>
      </c>
      <c r="E50" s="30" t="s">
        <v>674</v>
      </c>
      <c r="F50" s="30">
        <v>67138812</v>
      </c>
      <c r="G50" s="75">
        <v>33.714285714285715</v>
      </c>
      <c r="H50" s="80">
        <v>36.571428571428569</v>
      </c>
      <c r="I50" s="77">
        <v>0</v>
      </c>
      <c r="J50" s="30">
        <v>3408</v>
      </c>
      <c r="K50" s="77">
        <v>0</v>
      </c>
      <c r="L50" s="49">
        <v>0.21436660852439801</v>
      </c>
      <c r="M50" s="49">
        <v>0.165862990363805</v>
      </c>
      <c r="N50" s="49">
        <v>0.16252761840589</v>
      </c>
      <c r="O50" s="49">
        <v>0.15883640707806401</v>
      </c>
      <c r="P50" s="49">
        <v>0.45184475268007901</v>
      </c>
      <c r="Q50" s="49">
        <v>0.30144902558334002</v>
      </c>
      <c r="R50" s="49">
        <v>0.36637721785349497</v>
      </c>
      <c r="S50" s="49">
        <v>0.35756486123720599</v>
      </c>
      <c r="T50" s="49">
        <v>0.356645420578172</v>
      </c>
      <c r="U50" s="49">
        <v>0.42661680311030997</v>
      </c>
      <c r="V50" s="49">
        <v>0.49485801636020299</v>
      </c>
      <c r="W50" s="49">
        <v>0.39996063159142597</v>
      </c>
      <c r="X50" s="49">
        <v>0.512347631496615</v>
      </c>
      <c r="Y50" s="49">
        <v>0.62754461320507104</v>
      </c>
      <c r="Z50" s="49">
        <v>0.58812884204122595</v>
      </c>
      <c r="AA50" s="49">
        <v>0.55536791517065898</v>
      </c>
      <c r="AB50" s="49">
        <v>0.69852941176470595</v>
      </c>
      <c r="AC50" s="49">
        <v>0.86363636363636398</v>
      </c>
      <c r="AD50" s="49">
        <v>0.85606060606060597</v>
      </c>
      <c r="AE50" s="49">
        <v>0.86363636363636398</v>
      </c>
      <c r="AF50" s="49">
        <v>0.66346153846153799</v>
      </c>
      <c r="AG50" s="49">
        <v>0.81597222222222199</v>
      </c>
      <c r="AH50" s="49">
        <v>0.63974358974359002</v>
      </c>
      <c r="AI50" s="49">
        <v>0.63653846153846105</v>
      </c>
      <c r="AJ50" s="49">
        <v>0.50232181510195295</v>
      </c>
      <c r="AK50" s="49">
        <v>0.62332666429895101</v>
      </c>
      <c r="AL50" s="49">
        <v>0.73749238861293898</v>
      </c>
      <c r="AM50" s="49">
        <v>0.62332666429895101</v>
      </c>
      <c r="AN50" s="49">
        <v>0.73144925377483905</v>
      </c>
      <c r="AO50" s="49">
        <v>0.96639816710523296</v>
      </c>
      <c r="AP50" s="49">
        <v>0.937153715075147</v>
      </c>
      <c r="AQ50" s="49">
        <v>0.89487641972180298</v>
      </c>
      <c r="AR50" s="49">
        <v>0.47179487179487201</v>
      </c>
      <c r="AS50" s="49">
        <v>0.55897435897435899</v>
      </c>
      <c r="AT50" s="49">
        <v>0.61538461538461497</v>
      </c>
      <c r="AU50" s="49">
        <v>0.55897435897435899</v>
      </c>
      <c r="AV50" s="49">
        <v>0.57509157509157505</v>
      </c>
      <c r="AW50" s="49">
        <v>0.84157509157509203</v>
      </c>
      <c r="AX50" s="49">
        <v>0.72600732600732598</v>
      </c>
      <c r="AY50" s="49">
        <v>0.79706959706959701</v>
      </c>
      <c r="AZ50" s="49">
        <v>1.76470588235294</v>
      </c>
      <c r="BA50" s="49">
        <v>1.27272727272727</v>
      </c>
      <c r="BB50" s="49">
        <v>1.3181818181818199</v>
      </c>
      <c r="BC50" s="49">
        <v>1.27272727272727</v>
      </c>
      <c r="BD50" s="49">
        <v>1.8333333333333299</v>
      </c>
      <c r="BE50" s="49">
        <v>1.3958333333333299</v>
      </c>
      <c r="BF50" s="49">
        <v>2.02564102564103</v>
      </c>
      <c r="BG50" s="49">
        <v>2.0512820512820502</v>
      </c>
      <c r="BH50" s="49">
        <v>35.489539981347399</v>
      </c>
      <c r="BI50" s="49">
        <v>18.0438919119341</v>
      </c>
      <c r="BJ50" s="49">
        <v>6.3870872396415699</v>
      </c>
      <c r="BK50" s="49">
        <v>2.3554010241580201</v>
      </c>
      <c r="BL50" s="49">
        <v>156.92152633042201</v>
      </c>
      <c r="BM50" s="49">
        <v>58.429777506618898</v>
      </c>
      <c r="BN50" s="49">
        <v>24.1251487248581</v>
      </c>
      <c r="BO50" s="49">
        <v>7.9179307256194802</v>
      </c>
      <c r="BP50" s="49">
        <v>3.29759455260734</v>
      </c>
      <c r="BQ50" s="49">
        <v>237.50985374618</v>
      </c>
      <c r="BR50" s="49">
        <v>0.22616106796347901</v>
      </c>
      <c r="BS50" s="49">
        <v>0.114986721923288</v>
      </c>
      <c r="BT50" s="49">
        <v>4.0702428717093897E-2</v>
      </c>
      <c r="BU50" s="49">
        <v>1.50100568050706E-2</v>
      </c>
      <c r="BV50" s="49">
        <v>0.246009908999654</v>
      </c>
      <c r="BW50" s="49">
        <v>0.101575359271788</v>
      </c>
      <c r="BX50" s="49">
        <v>3.3337272541463202E-2</v>
      </c>
      <c r="BY50" s="49">
        <v>1.3884032601575299E-2</v>
      </c>
    </row>
    <row r="51" spans="1:77">
      <c r="A51" s="80">
        <v>49</v>
      </c>
      <c r="B51" s="49" t="s">
        <v>646</v>
      </c>
      <c r="C51" s="9">
        <v>1</v>
      </c>
      <c r="D51" s="49" t="s">
        <v>675</v>
      </c>
      <c r="E51" s="30" t="s">
        <v>212</v>
      </c>
      <c r="F51" s="30">
        <v>66927331</v>
      </c>
      <c r="G51" s="75">
        <v>27.428571428571427</v>
      </c>
      <c r="H51" s="49">
        <v>40.857142857142847</v>
      </c>
      <c r="I51" s="77">
        <v>0</v>
      </c>
      <c r="J51" s="30">
        <v>21444</v>
      </c>
      <c r="K51" s="77">
        <v>0</v>
      </c>
      <c r="L51" s="49">
        <v>0.32794987414780302</v>
      </c>
      <c r="M51" s="49">
        <v>0.321997281488829</v>
      </c>
      <c r="N51" s="49">
        <v>0.356410588877904</v>
      </c>
      <c r="O51" s="49">
        <v>0.34028699058235601</v>
      </c>
      <c r="P51" s="49">
        <v>0.49057689467905602</v>
      </c>
      <c r="Q51" s="49">
        <v>0.47662312689548297</v>
      </c>
      <c r="R51" s="49">
        <v>0.44076795019311699</v>
      </c>
      <c r="S51" s="49">
        <v>0.42046610364593801</v>
      </c>
      <c r="T51" s="49">
        <v>0.28287070053549102</v>
      </c>
      <c r="U51" s="49">
        <v>0.28044835746827901</v>
      </c>
      <c r="V51" s="49">
        <v>0.23004809641713</v>
      </c>
      <c r="W51" s="49">
        <v>0.222221956462405</v>
      </c>
      <c r="X51" s="49">
        <v>0.58847460838481502</v>
      </c>
      <c r="Y51" s="49">
        <v>0.57399848390879604</v>
      </c>
      <c r="Z51" s="49">
        <v>0.57128555164373696</v>
      </c>
      <c r="AA51" s="49">
        <v>0.54509798636426599</v>
      </c>
      <c r="AB51" s="49">
        <v>0.49181096681096698</v>
      </c>
      <c r="AC51" s="49">
        <v>0.49181096681096698</v>
      </c>
      <c r="AD51" s="49">
        <v>0.46678876678876702</v>
      </c>
      <c r="AE51" s="49">
        <v>0.46678876678876702</v>
      </c>
      <c r="AF51" s="49">
        <v>0.66666666666666596</v>
      </c>
      <c r="AG51" s="49">
        <v>0.66880341880341898</v>
      </c>
      <c r="AH51" s="49">
        <v>0.66239316239316204</v>
      </c>
      <c r="AI51" s="49">
        <v>0.66239316239316204</v>
      </c>
      <c r="AJ51" s="49">
        <v>0.361215411588928</v>
      </c>
      <c r="AK51" s="49">
        <v>0.361215411588928</v>
      </c>
      <c r="AL51" s="49">
        <v>0.29487179487179499</v>
      </c>
      <c r="AM51" s="49">
        <v>0.29487179487179499</v>
      </c>
      <c r="AN51" s="49">
        <v>0.80882093112407105</v>
      </c>
      <c r="AO51" s="49">
        <v>0.79498316664186297</v>
      </c>
      <c r="AP51" s="49">
        <v>0.83815928903456405</v>
      </c>
      <c r="AQ51" s="49">
        <v>0.83815928903456405</v>
      </c>
      <c r="AR51" s="49">
        <v>0.32051282051282098</v>
      </c>
      <c r="AS51" s="49">
        <v>0.32051282051282098</v>
      </c>
      <c r="AT51" s="49">
        <v>0.29487179487179499</v>
      </c>
      <c r="AU51" s="49">
        <v>0.29487179487179499</v>
      </c>
      <c r="AV51" s="49">
        <v>0.57509157509157505</v>
      </c>
      <c r="AW51" s="49">
        <v>0.61575091575091601</v>
      </c>
      <c r="AX51" s="49">
        <v>0.67234432234432195</v>
      </c>
      <c r="AY51" s="49">
        <v>0.67234432234432195</v>
      </c>
      <c r="AZ51" s="49">
        <v>2.8787878787878798</v>
      </c>
      <c r="BA51" s="49">
        <v>2.8787878787878798</v>
      </c>
      <c r="BB51" s="49">
        <v>2.9615384615384599</v>
      </c>
      <c r="BC51" s="49">
        <v>2.9615384615384599</v>
      </c>
      <c r="BD51" s="49">
        <v>1.82051282051282</v>
      </c>
      <c r="BE51" s="49">
        <v>1.7820512820512799</v>
      </c>
      <c r="BF51" s="49">
        <v>1.8333333333333299</v>
      </c>
      <c r="BG51" s="49">
        <v>1.8333333333333299</v>
      </c>
      <c r="BH51" s="49">
        <v>80.894247846755903</v>
      </c>
      <c r="BI51" s="49">
        <v>17.8794737228468</v>
      </c>
      <c r="BJ51" s="49">
        <v>4.3199548804709398</v>
      </c>
      <c r="BK51" s="49">
        <v>1.5222807864338701</v>
      </c>
      <c r="BL51" s="49">
        <v>325.11680244147198</v>
      </c>
      <c r="BM51" s="49">
        <v>25.236493597106801</v>
      </c>
      <c r="BN51" s="49">
        <v>10.8738159760318</v>
      </c>
      <c r="BO51" s="49">
        <v>3.9628119001228801</v>
      </c>
      <c r="BP51" s="49">
        <v>1.87004522810744</v>
      </c>
      <c r="BQ51" s="49">
        <v>139.89946979742999</v>
      </c>
      <c r="BR51" s="49">
        <v>0.24881595549439101</v>
      </c>
      <c r="BS51" s="49">
        <v>5.4994000890081503E-2</v>
      </c>
      <c r="BT51" s="49">
        <v>1.3287393478375001E-2</v>
      </c>
      <c r="BU51" s="49">
        <v>4.6822581146291698E-3</v>
      </c>
      <c r="BV51" s="49">
        <v>0.180390201861725</v>
      </c>
      <c r="BW51" s="49">
        <v>7.7725926994410804E-2</v>
      </c>
      <c r="BX51" s="49">
        <v>2.8326139519048301E-2</v>
      </c>
      <c r="BY51" s="49">
        <v>1.3367064441453601E-2</v>
      </c>
    </row>
    <row r="52" spans="1:77">
      <c r="A52" s="80">
        <v>50</v>
      </c>
      <c r="B52" s="49" t="s">
        <v>646</v>
      </c>
      <c r="C52" s="9">
        <v>1</v>
      </c>
      <c r="D52" s="49" t="s">
        <v>678</v>
      </c>
      <c r="E52" s="30" t="s">
        <v>679</v>
      </c>
      <c r="F52" s="30">
        <v>67123593</v>
      </c>
      <c r="G52" s="75">
        <v>30.142857142857142</v>
      </c>
      <c r="H52" s="49">
        <v>37.428571428571431</v>
      </c>
      <c r="I52" s="77">
        <v>0</v>
      </c>
      <c r="J52" s="30">
        <v>15120</v>
      </c>
      <c r="K52" s="77">
        <v>0</v>
      </c>
      <c r="L52" s="49">
        <v>0.29552358143045898</v>
      </c>
      <c r="M52" s="49">
        <v>0.33151883637385698</v>
      </c>
      <c r="N52" s="49">
        <v>0.21552619602768799</v>
      </c>
      <c r="O52" s="49">
        <v>0.19384832697887799</v>
      </c>
      <c r="P52" s="49">
        <v>0.46339332144433398</v>
      </c>
      <c r="Q52" s="49">
        <v>0.412664612063675</v>
      </c>
      <c r="R52" s="49">
        <v>0.40694965500699298</v>
      </c>
      <c r="S52" s="49">
        <v>0.38137521159690402</v>
      </c>
      <c r="T52" s="49">
        <v>0.32125981696571099</v>
      </c>
      <c r="U52" s="49">
        <v>0.144349680608231</v>
      </c>
      <c r="V52" s="49">
        <v>0.216952905102691</v>
      </c>
      <c r="W52" s="49">
        <v>0.38972991417505698</v>
      </c>
      <c r="X52" s="49">
        <v>0.439293161149448</v>
      </c>
      <c r="Y52" s="49">
        <v>0.46083960669865698</v>
      </c>
      <c r="Z52" s="49">
        <v>0.46365858822429901</v>
      </c>
      <c r="AA52" s="49">
        <v>0.42990424931214899</v>
      </c>
      <c r="AB52" s="49">
        <v>0.56101190476190499</v>
      </c>
      <c r="AC52" s="49">
        <v>0.48440170940171001</v>
      </c>
      <c r="AD52" s="49">
        <v>0.68518518518518501</v>
      </c>
      <c r="AE52" s="49">
        <v>0.72043010752688197</v>
      </c>
      <c r="AF52" s="49">
        <v>0.64401709401709395</v>
      </c>
      <c r="AG52" s="49">
        <v>0.65705128205128205</v>
      </c>
      <c r="AH52" s="49">
        <v>0.65705128205128205</v>
      </c>
      <c r="AI52" s="49">
        <v>0.65747863247863203</v>
      </c>
      <c r="AJ52" s="49">
        <v>0.40720773276800798</v>
      </c>
      <c r="AK52" s="49">
        <v>0.19230769230769201</v>
      </c>
      <c r="AL52" s="49">
        <v>0.30769230769230799</v>
      </c>
      <c r="AM52" s="49">
        <v>0.58276364654173396</v>
      </c>
      <c r="AN52" s="49">
        <v>0.60277117329409702</v>
      </c>
      <c r="AO52" s="49">
        <v>0.72253163440196999</v>
      </c>
      <c r="AP52" s="49">
        <v>0.74505405578514405</v>
      </c>
      <c r="AQ52" s="49">
        <v>0.73100241222623297</v>
      </c>
      <c r="AR52" s="49">
        <v>0.34615384615384598</v>
      </c>
      <c r="AS52" s="49">
        <v>0.19230769230769201</v>
      </c>
      <c r="AT52" s="49">
        <v>0.30769230769230799</v>
      </c>
      <c r="AU52" s="49">
        <v>0.512820512820513</v>
      </c>
      <c r="AV52" s="49">
        <v>0.54578754578754596</v>
      </c>
      <c r="AW52" s="49">
        <v>0.59560439560439604</v>
      </c>
      <c r="AX52" s="49">
        <v>0.60805860805860801</v>
      </c>
      <c r="AY52" s="49">
        <v>0.59090354090354102</v>
      </c>
      <c r="AZ52" s="49">
        <v>2.28571428571429</v>
      </c>
      <c r="BA52" s="49">
        <v>2.7051282051282102</v>
      </c>
      <c r="BB52" s="49">
        <v>1.80555555555556</v>
      </c>
      <c r="BC52" s="49">
        <v>1.74193548387097</v>
      </c>
      <c r="BD52" s="49">
        <v>2</v>
      </c>
      <c r="BE52" s="49">
        <v>1.87179487179487</v>
      </c>
      <c r="BF52" s="49">
        <v>1.87179487179487</v>
      </c>
      <c r="BG52" s="49">
        <v>1.8846153846153799</v>
      </c>
      <c r="BH52" s="49">
        <v>60.537121623516498</v>
      </c>
      <c r="BI52" s="49">
        <v>10.3327015377705</v>
      </c>
      <c r="BJ52" s="49">
        <v>4.07643749732995</v>
      </c>
      <c r="BK52" s="49">
        <v>1.9475187726949501</v>
      </c>
      <c r="BL52" s="49">
        <v>355.98058450978499</v>
      </c>
      <c r="BM52" s="49">
        <v>72.428996286471502</v>
      </c>
      <c r="BN52" s="49">
        <v>10.525220281729499</v>
      </c>
      <c r="BO52" s="49">
        <v>3.83169048793971</v>
      </c>
      <c r="BP52" s="49">
        <v>1.8296384674852799</v>
      </c>
      <c r="BQ52" s="49">
        <v>290.83646617316401</v>
      </c>
      <c r="BR52" s="49">
        <v>0.17005736901882201</v>
      </c>
      <c r="BS52" s="49">
        <v>2.9026025540127402E-2</v>
      </c>
      <c r="BT52" s="49">
        <v>1.14512916566603E-2</v>
      </c>
      <c r="BU52" s="49">
        <v>5.47085671926981E-3</v>
      </c>
      <c r="BV52" s="49">
        <v>0.24903684616820801</v>
      </c>
      <c r="BW52" s="49">
        <v>3.6189479332563501E-2</v>
      </c>
      <c r="BX52" s="49">
        <v>1.31747250898666E-2</v>
      </c>
      <c r="BY52" s="49">
        <v>6.2909527527951299E-3</v>
      </c>
    </row>
    <row r="53" spans="1:77">
      <c r="A53" s="80">
        <v>51</v>
      </c>
      <c r="B53" s="49" t="s">
        <v>646</v>
      </c>
      <c r="C53" s="9">
        <v>1</v>
      </c>
      <c r="D53" s="49" t="s">
        <v>689</v>
      </c>
      <c r="E53" s="30" t="s">
        <v>690</v>
      </c>
      <c r="F53" s="30">
        <v>67208336</v>
      </c>
      <c r="G53" s="75">
        <v>33.857142857142854</v>
      </c>
      <c r="H53" s="49">
        <v>38</v>
      </c>
      <c r="I53" s="77">
        <v>0</v>
      </c>
      <c r="J53" s="30">
        <v>10472</v>
      </c>
      <c r="K53" s="77">
        <v>0</v>
      </c>
      <c r="L53" s="49">
        <v>0.21114707566415999</v>
      </c>
      <c r="M53" s="49">
        <v>0.177796728477849</v>
      </c>
      <c r="N53" s="49">
        <v>0.17346355948178699</v>
      </c>
      <c r="O53" s="49">
        <v>0.17123228149759401</v>
      </c>
      <c r="P53" s="49">
        <v>0.42184953822008697</v>
      </c>
      <c r="Q53" s="49">
        <v>0.40265448817911798</v>
      </c>
      <c r="R53" s="49">
        <v>0.35470780867238899</v>
      </c>
      <c r="S53" s="49">
        <v>0.34021112264994702</v>
      </c>
      <c r="T53" s="49">
        <v>0.28911921627120901</v>
      </c>
      <c r="U53" s="49">
        <v>0.29946536054336098</v>
      </c>
      <c r="V53" s="49">
        <v>0.28454610236151201</v>
      </c>
      <c r="W53" s="49">
        <v>0.22088226066851799</v>
      </c>
      <c r="X53" s="49">
        <v>0.43325761277566499</v>
      </c>
      <c r="Y53" s="49">
        <v>0.46915719025288</v>
      </c>
      <c r="Z53" s="49">
        <v>0.42323769002037998</v>
      </c>
      <c r="AA53" s="49">
        <v>0.43763944408957201</v>
      </c>
      <c r="AB53" s="49">
        <v>0.677927927927928</v>
      </c>
      <c r="AC53" s="49">
        <v>0.75862068965517204</v>
      </c>
      <c r="AD53" s="49">
        <v>0.76436781609195403</v>
      </c>
      <c r="AE53" s="49">
        <v>0.74731182795698903</v>
      </c>
      <c r="AF53" s="49">
        <v>0.670940170940171</v>
      </c>
      <c r="AG53" s="49">
        <v>0.67521367521367504</v>
      </c>
      <c r="AH53" s="49">
        <v>0.66452991452991395</v>
      </c>
      <c r="AI53" s="49">
        <v>0.65170940170940095</v>
      </c>
      <c r="AJ53" s="49">
        <v>0.43284875840903297</v>
      </c>
      <c r="AK53" s="49">
        <v>0.46986295115857102</v>
      </c>
      <c r="AL53" s="49">
        <v>0.46541025134518599</v>
      </c>
      <c r="AM53" s="49">
        <v>0.36284614878108401</v>
      </c>
      <c r="AN53" s="49">
        <v>0.68057336876996299</v>
      </c>
      <c r="AO53" s="49">
        <v>0.76047741484744302</v>
      </c>
      <c r="AP53" s="49">
        <v>0.75973881891178796</v>
      </c>
      <c r="AQ53" s="49">
        <v>0.82294811617383701</v>
      </c>
      <c r="AR53" s="49">
        <v>0.37179487179487197</v>
      </c>
      <c r="AS53" s="49">
        <v>0.35641025641025598</v>
      </c>
      <c r="AT53" s="49">
        <v>0.40512820512820502</v>
      </c>
      <c r="AU53" s="49">
        <v>0.30256410256410299</v>
      </c>
      <c r="AV53" s="49">
        <v>0.55934065934065902</v>
      </c>
      <c r="AW53" s="49">
        <v>0.63833943833943796</v>
      </c>
      <c r="AX53" s="49">
        <v>0.62765567765567798</v>
      </c>
      <c r="AY53" s="49">
        <v>0.71520146520146499</v>
      </c>
      <c r="AZ53" s="49">
        <v>1.8108108108108101</v>
      </c>
      <c r="BA53" s="49">
        <v>1.55172413793103</v>
      </c>
      <c r="BB53" s="49">
        <v>1.5172413793103401</v>
      </c>
      <c r="BC53" s="49">
        <v>1.54838709677419</v>
      </c>
      <c r="BD53" s="49">
        <v>1.7692307692307701</v>
      </c>
      <c r="BE53" s="49">
        <v>1.7435897435897401</v>
      </c>
      <c r="BF53" s="49">
        <v>1.8076923076923099</v>
      </c>
      <c r="BG53" s="49">
        <v>1.9102564102564099</v>
      </c>
      <c r="BH53" s="49">
        <v>31.2523737046474</v>
      </c>
      <c r="BI53" s="49">
        <v>9.2418605952735096</v>
      </c>
      <c r="BJ53" s="49">
        <v>3.2367449690110299</v>
      </c>
      <c r="BK53" s="49">
        <v>1.47556970509781</v>
      </c>
      <c r="BL53" s="49">
        <v>149.696657642395</v>
      </c>
      <c r="BM53" s="49">
        <v>44.220825577731802</v>
      </c>
      <c r="BN53" s="49">
        <v>13.0190738047531</v>
      </c>
      <c r="BO53" s="49">
        <v>4.2911195935277302</v>
      </c>
      <c r="BP53" s="49">
        <v>2.2869362562096698</v>
      </c>
      <c r="BQ53" s="49">
        <v>183.15196879722399</v>
      </c>
      <c r="BR53" s="49">
        <v>0.20877135265975799</v>
      </c>
      <c r="BS53" s="49">
        <v>6.1737254129955697E-2</v>
      </c>
      <c r="BT53" s="49">
        <v>2.1622025634955602E-2</v>
      </c>
      <c r="BU53" s="49">
        <v>9.8570651365025592E-3</v>
      </c>
      <c r="BV53" s="49">
        <v>0.24144335367036501</v>
      </c>
      <c r="BW53" s="49">
        <v>7.1083449936413801E-2</v>
      </c>
      <c r="BX53" s="49">
        <v>2.3429284553739198E-2</v>
      </c>
      <c r="BY53" s="49">
        <v>1.2486550219624699E-2</v>
      </c>
    </row>
    <row r="54" spans="1:77">
      <c r="A54" s="80">
        <v>52</v>
      </c>
      <c r="B54" s="49" t="s">
        <v>646</v>
      </c>
      <c r="C54" s="9">
        <v>1</v>
      </c>
      <c r="D54" s="49" t="s">
        <v>691</v>
      </c>
      <c r="E54" s="30" t="s">
        <v>692</v>
      </c>
      <c r="F54" s="30">
        <v>67153024</v>
      </c>
      <c r="G54" s="75">
        <v>31.142857142857142</v>
      </c>
      <c r="H54" s="49">
        <v>35.285714285714278</v>
      </c>
      <c r="I54" s="77">
        <v>0</v>
      </c>
      <c r="J54" s="30">
        <v>8692</v>
      </c>
      <c r="K54" s="77">
        <v>0</v>
      </c>
      <c r="L54" s="49">
        <v>0.30863108397571798</v>
      </c>
      <c r="M54" s="49">
        <v>0.29208278916899399</v>
      </c>
      <c r="N54" s="49">
        <v>0.32190182892004798</v>
      </c>
      <c r="O54" s="49">
        <v>0.30180936304400502</v>
      </c>
      <c r="P54" s="49">
        <v>0.47072811260334402</v>
      </c>
      <c r="Q54" s="49">
        <v>0.43194286748008098</v>
      </c>
      <c r="R54" s="49">
        <v>0.40296786206256902</v>
      </c>
      <c r="S54" s="49">
        <v>0.41279253855718101</v>
      </c>
      <c r="T54" s="49">
        <v>0.37117701168001599</v>
      </c>
      <c r="U54" s="49">
        <v>0.35052705887140201</v>
      </c>
      <c r="V54" s="49">
        <v>0.24381643585760299</v>
      </c>
      <c r="W54" s="49">
        <v>0.30299042341212201</v>
      </c>
      <c r="X54" s="49">
        <v>0.60111253020995903</v>
      </c>
      <c r="Y54" s="49">
        <v>0.61769716146882903</v>
      </c>
      <c r="Z54" s="49">
        <v>0.57343642085236701</v>
      </c>
      <c r="AA54" s="49">
        <v>0.50910712184267204</v>
      </c>
      <c r="AB54" s="49">
        <v>0.574242424242425</v>
      </c>
      <c r="AC54" s="49">
        <v>0.574242424242425</v>
      </c>
      <c r="AD54" s="49">
        <v>0.53207070707070703</v>
      </c>
      <c r="AE54" s="49">
        <v>0.52651515151515205</v>
      </c>
      <c r="AF54" s="49">
        <v>0.72222222222222199</v>
      </c>
      <c r="AG54" s="49">
        <v>0.72727272727272696</v>
      </c>
      <c r="AH54" s="49">
        <v>0.71969696969696995</v>
      </c>
      <c r="AI54" s="49">
        <v>0.66880341880341898</v>
      </c>
      <c r="AJ54" s="49">
        <v>0.49782463205208199</v>
      </c>
      <c r="AK54" s="49">
        <v>0.49782463205208199</v>
      </c>
      <c r="AL54" s="49">
        <v>0.34615384615384598</v>
      </c>
      <c r="AM54" s="49">
        <v>0.43589743589743601</v>
      </c>
      <c r="AN54" s="49">
        <v>0.77158744672256996</v>
      </c>
      <c r="AO54" s="49">
        <v>0.87413691117542902</v>
      </c>
      <c r="AP54" s="49">
        <v>0.86741711351684303</v>
      </c>
      <c r="AQ54" s="49">
        <v>0.809896295778057</v>
      </c>
      <c r="AR54" s="49">
        <v>0.42051282051282102</v>
      </c>
      <c r="AS54" s="49">
        <v>0.42051282051282102</v>
      </c>
      <c r="AT54" s="49">
        <v>0.34615384615384598</v>
      </c>
      <c r="AU54" s="49">
        <v>0.43589743589743601</v>
      </c>
      <c r="AV54" s="49">
        <v>0.59505494505494505</v>
      </c>
      <c r="AW54" s="49">
        <v>0.71666666666666701</v>
      </c>
      <c r="AX54" s="49">
        <v>0.67527472527472499</v>
      </c>
      <c r="AY54" s="49">
        <v>0.60183150183150202</v>
      </c>
      <c r="AZ54" s="49">
        <v>2.1818181818181799</v>
      </c>
      <c r="BA54" s="49">
        <v>2.1818181818181799</v>
      </c>
      <c r="BB54" s="49">
        <v>2.39393939393939</v>
      </c>
      <c r="BC54" s="49">
        <v>2.4242424242424199</v>
      </c>
      <c r="BD54" s="49">
        <v>1.60606060606061</v>
      </c>
      <c r="BE54" s="49">
        <v>1.5757575757575799</v>
      </c>
      <c r="BF54" s="49">
        <v>1.62121212121212</v>
      </c>
      <c r="BG54" s="49">
        <v>1.7948717948718</v>
      </c>
      <c r="BH54" s="49">
        <v>16.157104732587101</v>
      </c>
      <c r="BI54" s="49">
        <v>4.5620359103645498</v>
      </c>
      <c r="BJ54" s="49">
        <v>1.8043408428716801</v>
      </c>
      <c r="BK54" s="49">
        <v>0.94709675004189298</v>
      </c>
      <c r="BL54" s="49">
        <v>74.967439657909694</v>
      </c>
      <c r="BM54" s="49">
        <v>52.439200143034299</v>
      </c>
      <c r="BN54" s="49">
        <v>8.1490578155118207</v>
      </c>
      <c r="BO54" s="49">
        <v>2.8963896665586399</v>
      </c>
      <c r="BP54" s="49">
        <v>1.94792349809502</v>
      </c>
      <c r="BQ54" s="49">
        <v>250.03162791738501</v>
      </c>
      <c r="BR54" s="49">
        <v>0.21552162920749299</v>
      </c>
      <c r="BS54" s="49">
        <v>6.0853564309811897E-2</v>
      </c>
      <c r="BT54" s="49">
        <v>2.4068326877711401E-2</v>
      </c>
      <c r="BU54" s="49">
        <v>1.26334413228419E-2</v>
      </c>
      <c r="BV54" s="49">
        <v>0.20973026724587501</v>
      </c>
      <c r="BW54" s="49">
        <v>3.2592107980052902E-2</v>
      </c>
      <c r="BX54" s="49">
        <v>1.1584093143270901E-2</v>
      </c>
      <c r="BY54" s="49">
        <v>7.79070837685645E-3</v>
      </c>
    </row>
    <row r="55" spans="1:77">
      <c r="A55" s="80">
        <v>53</v>
      </c>
      <c r="B55" s="49" t="s">
        <v>646</v>
      </c>
      <c r="C55" s="9">
        <v>1</v>
      </c>
      <c r="D55" s="49" t="s">
        <v>697</v>
      </c>
      <c r="E55" s="30" t="s">
        <v>698</v>
      </c>
      <c r="F55" s="30">
        <v>67087440</v>
      </c>
      <c r="G55" s="75">
        <v>31</v>
      </c>
      <c r="H55" s="49">
        <v>39</v>
      </c>
      <c r="I55" s="77">
        <v>0</v>
      </c>
      <c r="J55" s="30">
        <v>4384</v>
      </c>
      <c r="K55" s="77">
        <v>0</v>
      </c>
      <c r="L55" s="49">
        <v>0.25496760390774098</v>
      </c>
      <c r="M55" s="49">
        <v>0.231547762953801</v>
      </c>
      <c r="N55" s="49">
        <v>0.23074382584251199</v>
      </c>
      <c r="O55" s="49">
        <v>0.22553254069313999</v>
      </c>
      <c r="P55" s="49">
        <v>0.37264067583433602</v>
      </c>
      <c r="Q55" s="49">
        <v>0.39243124576251698</v>
      </c>
      <c r="R55" s="49">
        <v>0.38040057617681799</v>
      </c>
      <c r="S55" s="49">
        <v>0.34941551297237</v>
      </c>
      <c r="T55" s="49">
        <v>0.42679499356135497</v>
      </c>
      <c r="U55" s="49">
        <v>0.32075892320509602</v>
      </c>
      <c r="V55" s="49">
        <v>0.38219507068681202</v>
      </c>
      <c r="W55" s="49">
        <v>0.38027114362292702</v>
      </c>
      <c r="X55" s="49">
        <v>0.56800702310674001</v>
      </c>
      <c r="Y55" s="49">
        <v>0.50779946847446</v>
      </c>
      <c r="Z55" s="49">
        <v>0.49452576433344297</v>
      </c>
      <c r="AA55" s="49">
        <v>0.52999989453053697</v>
      </c>
      <c r="AB55" s="49">
        <v>0.69675925925925897</v>
      </c>
      <c r="AC55" s="49">
        <v>0.6875</v>
      </c>
      <c r="AD55" s="49">
        <v>0.69212962962962998</v>
      </c>
      <c r="AE55" s="49">
        <v>0.68518518518518501</v>
      </c>
      <c r="AF55" s="49">
        <v>0.82608695652173902</v>
      </c>
      <c r="AG55" s="49">
        <v>0.69191919191919204</v>
      </c>
      <c r="AH55" s="49">
        <v>0.69191919191919204</v>
      </c>
      <c r="AI55" s="49">
        <v>0.76060606060605995</v>
      </c>
      <c r="AJ55" s="49">
        <v>0.536739752697724</v>
      </c>
      <c r="AK55" s="49">
        <v>0.433693242458498</v>
      </c>
      <c r="AL55" s="49">
        <v>0.52949507560359699</v>
      </c>
      <c r="AM55" s="49">
        <v>0.53084932818139297</v>
      </c>
      <c r="AN55" s="49">
        <v>0.74296207935272995</v>
      </c>
      <c r="AO55" s="49">
        <v>0.74775251249229802</v>
      </c>
      <c r="AP55" s="49">
        <v>0.75188254230795604</v>
      </c>
      <c r="AQ55" s="49">
        <v>0.80359014338215595</v>
      </c>
      <c r="AR55" s="49">
        <v>0.39743589743589702</v>
      </c>
      <c r="AS55" s="49">
        <v>0.35128205128205098</v>
      </c>
      <c r="AT55" s="49">
        <v>0.41538461538461502</v>
      </c>
      <c r="AU55" s="49">
        <v>0.41538461538461502</v>
      </c>
      <c r="AV55" s="49">
        <v>0.64688644688644703</v>
      </c>
      <c r="AW55" s="49">
        <v>0.59010989010989001</v>
      </c>
      <c r="AX55" s="49">
        <v>0.59780219780219801</v>
      </c>
      <c r="AY55" s="49">
        <v>0.65512820512820502</v>
      </c>
      <c r="AZ55" s="49">
        <v>1.7222222222222201</v>
      </c>
      <c r="BA55" s="49">
        <v>1.7777777777777799</v>
      </c>
      <c r="BB55" s="49">
        <v>1.75</v>
      </c>
      <c r="BC55" s="49">
        <v>1.80555555555556</v>
      </c>
      <c r="BD55" s="49">
        <v>1.39130434782609</v>
      </c>
      <c r="BE55" s="49">
        <v>1.8181818181818199</v>
      </c>
      <c r="BF55" s="49">
        <v>1.8181818181818199</v>
      </c>
      <c r="BG55" s="49">
        <v>1.5636363636363599</v>
      </c>
      <c r="BH55" s="49">
        <v>51.913973932691199</v>
      </c>
      <c r="BI55" s="49">
        <v>14.1948212957438</v>
      </c>
      <c r="BJ55" s="49">
        <v>5.4187683431207603</v>
      </c>
      <c r="BK55" s="49">
        <v>2.1754121830142199</v>
      </c>
      <c r="BL55" s="49">
        <v>291.44855258428902</v>
      </c>
      <c r="BM55" s="49">
        <v>60.538393386616399</v>
      </c>
      <c r="BN55" s="49">
        <v>17.866220277132399</v>
      </c>
      <c r="BO55" s="49">
        <v>6.9905875647953399</v>
      </c>
      <c r="BP55" s="49">
        <v>2.80577529753565</v>
      </c>
      <c r="BQ55" s="49">
        <v>270.87810728476398</v>
      </c>
      <c r="BR55" s="49">
        <v>0.17812397238678099</v>
      </c>
      <c r="BS55" s="49">
        <v>4.8704380824257397E-2</v>
      </c>
      <c r="BT55" s="49">
        <v>1.8592538185804201E-2</v>
      </c>
      <c r="BU55" s="49">
        <v>7.46413788548518E-3</v>
      </c>
      <c r="BV55" s="49">
        <v>0.22348942848664599</v>
      </c>
      <c r="BW55" s="49">
        <v>6.59566786560212E-2</v>
      </c>
      <c r="BX55" s="49">
        <v>2.58071338243899E-2</v>
      </c>
      <c r="BY55" s="49">
        <v>1.0358073325527401E-2</v>
      </c>
    </row>
    <row r="56" spans="1:77">
      <c r="A56" s="80">
        <v>54</v>
      </c>
      <c r="B56" s="49" t="s">
        <v>646</v>
      </c>
      <c r="C56" s="9">
        <v>1</v>
      </c>
      <c r="D56" s="49" t="s">
        <v>704</v>
      </c>
      <c r="E56" s="30" t="s">
        <v>210</v>
      </c>
      <c r="F56" s="30">
        <v>66957304</v>
      </c>
      <c r="G56" s="75">
        <v>25</v>
      </c>
      <c r="H56" s="80">
        <v>37.285714285714278</v>
      </c>
      <c r="I56" s="77">
        <v>0</v>
      </c>
      <c r="J56" s="30">
        <v>16604</v>
      </c>
      <c r="K56" s="77">
        <v>0</v>
      </c>
      <c r="L56" s="49">
        <v>0.196840506926068</v>
      </c>
      <c r="M56" s="49">
        <v>0.18438188845935699</v>
      </c>
      <c r="N56" s="49">
        <v>0.17705868203668401</v>
      </c>
      <c r="O56" s="49">
        <v>0.17385978440112401</v>
      </c>
      <c r="P56" s="49">
        <v>0.44664419075420397</v>
      </c>
      <c r="Q56" s="49">
        <v>0.37086517629256099</v>
      </c>
      <c r="R56" s="49">
        <v>0.34209080698825101</v>
      </c>
      <c r="S56" s="49">
        <v>0.33476223248785902</v>
      </c>
      <c r="T56" s="49">
        <v>0.33686170292527401</v>
      </c>
      <c r="U56" s="49">
        <v>0.25828468055694298</v>
      </c>
      <c r="V56" s="49">
        <v>0.24603010955586899</v>
      </c>
      <c r="W56" s="49">
        <v>0.24290794647983199</v>
      </c>
      <c r="X56" s="49">
        <v>0.52556237612761303</v>
      </c>
      <c r="Y56" s="49">
        <v>0.53609098073510397</v>
      </c>
      <c r="Z56" s="49">
        <v>0.49344438596774998</v>
      </c>
      <c r="AA56" s="49">
        <v>0.48398464968622601</v>
      </c>
      <c r="AB56" s="49">
        <v>0.73387096774193605</v>
      </c>
      <c r="AC56" s="49">
        <v>0.74731182795698903</v>
      </c>
      <c r="AD56" s="49">
        <v>0.75268817204301097</v>
      </c>
      <c r="AE56" s="49">
        <v>0.75268817204301097</v>
      </c>
      <c r="AF56" s="49">
        <v>0.67521367521367504</v>
      </c>
      <c r="AG56" s="49">
        <v>0.709595959595959</v>
      </c>
      <c r="AH56" s="49">
        <v>0.70454545454545503</v>
      </c>
      <c r="AI56" s="49">
        <v>0.70454545454545503</v>
      </c>
      <c r="AJ56" s="49">
        <v>0.50944008662274398</v>
      </c>
      <c r="AK56" s="49">
        <v>0.40301918692216099</v>
      </c>
      <c r="AL56" s="49">
        <v>0.40592133210603998</v>
      </c>
      <c r="AM56" s="49">
        <v>0.40592133210603998</v>
      </c>
      <c r="AN56" s="49">
        <v>0.78626595931819998</v>
      </c>
      <c r="AO56" s="49">
        <v>0.87101155294300403</v>
      </c>
      <c r="AP56" s="49">
        <v>0.86827575809980795</v>
      </c>
      <c r="AQ56" s="49">
        <v>0.865101920038025</v>
      </c>
      <c r="AR56" s="49">
        <v>0.41025641025641002</v>
      </c>
      <c r="AS56" s="49">
        <v>0.33333333333333298</v>
      </c>
      <c r="AT56" s="49">
        <v>0.34615384615384598</v>
      </c>
      <c r="AU56" s="49">
        <v>0.34615384615384598</v>
      </c>
      <c r="AV56" s="49">
        <v>0.59682539682539704</v>
      </c>
      <c r="AW56" s="49">
        <v>0.69578754578754598</v>
      </c>
      <c r="AX56" s="49">
        <v>0.67124542124542097</v>
      </c>
      <c r="AY56" s="49">
        <v>0.65586080586080597</v>
      </c>
      <c r="AZ56" s="49">
        <v>1.6451612903225801</v>
      </c>
      <c r="BA56" s="49">
        <v>1.54838709677419</v>
      </c>
      <c r="BB56" s="49">
        <v>1.5161290322580601</v>
      </c>
      <c r="BC56" s="49">
        <v>1.5161290322580601</v>
      </c>
      <c r="BD56" s="49">
        <v>1.7435897435897401</v>
      </c>
      <c r="BE56" s="49">
        <v>1.6818181818181801</v>
      </c>
      <c r="BF56" s="49">
        <v>1.72727272727273</v>
      </c>
      <c r="BG56" s="49">
        <v>1.72727272727273</v>
      </c>
      <c r="BH56" s="49">
        <v>42.864035414577501</v>
      </c>
      <c r="BI56" s="49">
        <v>10.9757259093427</v>
      </c>
      <c r="BJ56" s="49">
        <v>3.8169443502365699</v>
      </c>
      <c r="BK56" s="49">
        <v>1.5337540320933101</v>
      </c>
      <c r="BL56" s="49">
        <v>185.191105259838</v>
      </c>
      <c r="BM56" s="49">
        <v>37.0948950828503</v>
      </c>
      <c r="BN56" s="49">
        <v>13.0752950238121</v>
      </c>
      <c r="BO56" s="49">
        <v>4.0541690584186698</v>
      </c>
      <c r="BP56" s="49">
        <v>1.98435759021853</v>
      </c>
      <c r="BQ56" s="49">
        <v>188.71418967448</v>
      </c>
      <c r="BR56" s="49">
        <v>0.23145839188354</v>
      </c>
      <c r="BS56" s="49">
        <v>5.9267025238295502E-2</v>
      </c>
      <c r="BT56" s="49">
        <v>2.06108405956166E-2</v>
      </c>
      <c r="BU56" s="49">
        <v>8.2820070107650495E-3</v>
      </c>
      <c r="BV56" s="49">
        <v>0.19656653877928601</v>
      </c>
      <c r="BW56" s="49">
        <v>6.9286231450672503E-2</v>
      </c>
      <c r="BX56" s="49">
        <v>2.1483117222991299E-2</v>
      </c>
      <c r="BY56" s="49">
        <v>1.0515147767327E-2</v>
      </c>
    </row>
    <row r="57" spans="1:77">
      <c r="A57" s="80">
        <v>55</v>
      </c>
      <c r="B57" s="49" t="s">
        <v>646</v>
      </c>
      <c r="C57" s="9">
        <v>1</v>
      </c>
      <c r="D57" s="49" t="s">
        <v>710</v>
      </c>
      <c r="E57" s="30" t="s">
        <v>217</v>
      </c>
      <c r="F57" s="30">
        <v>67134903</v>
      </c>
      <c r="G57" s="75">
        <v>32.285714285714285</v>
      </c>
      <c r="H57" s="80">
        <v>35.142857142857153</v>
      </c>
      <c r="I57" s="77">
        <v>0</v>
      </c>
      <c r="J57" s="30">
        <v>4232</v>
      </c>
      <c r="K57" s="77">
        <v>0</v>
      </c>
      <c r="L57" s="49">
        <v>0.263533525252165</v>
      </c>
      <c r="M57" s="49">
        <v>0.20290941248168701</v>
      </c>
      <c r="N57" s="49">
        <v>0.202428041658543</v>
      </c>
      <c r="O57" s="49">
        <v>0.20323471096031001</v>
      </c>
      <c r="P57" s="49">
        <v>0.38998477803965398</v>
      </c>
      <c r="Q57" s="49">
        <v>0.36000232216431699</v>
      </c>
      <c r="R57" s="49">
        <v>0.36044272590376503</v>
      </c>
      <c r="S57" s="49">
        <v>0.33074819210195699</v>
      </c>
      <c r="T57" s="49">
        <v>0.29948653246007301</v>
      </c>
      <c r="U57" s="49">
        <v>0.25909096810945098</v>
      </c>
      <c r="V57" s="49">
        <v>0.32049383968883199</v>
      </c>
      <c r="W57" s="49">
        <v>0.35912513258214501</v>
      </c>
      <c r="X57" s="49">
        <v>0.58914262498939596</v>
      </c>
      <c r="Y57" s="49">
        <v>0.48408567827717602</v>
      </c>
      <c r="Z57" s="49">
        <v>0.48486612974437998</v>
      </c>
      <c r="AA57" s="49">
        <v>0.43941017825454698</v>
      </c>
      <c r="AB57" s="49">
        <v>0.62137681159420299</v>
      </c>
      <c r="AC57" s="49">
        <v>0.75555555555555598</v>
      </c>
      <c r="AD57" s="49">
        <v>0.75</v>
      </c>
      <c r="AE57" s="49">
        <v>0.72916666666666696</v>
      </c>
      <c r="AF57" s="49">
        <v>0.83695652173913104</v>
      </c>
      <c r="AG57" s="49">
        <v>0.90789473684210498</v>
      </c>
      <c r="AH57" s="49">
        <v>0.90789473684210498</v>
      </c>
      <c r="AI57" s="49">
        <v>0.90789473684210498</v>
      </c>
      <c r="AJ57" s="49">
        <v>0.41687511418265899</v>
      </c>
      <c r="AK57" s="49">
        <v>0.39296182589137002</v>
      </c>
      <c r="AL57" s="49">
        <v>0.48157300103739298</v>
      </c>
      <c r="AM57" s="49">
        <v>0.52389258163536701</v>
      </c>
      <c r="AN57" s="49">
        <v>0.74506554232859601</v>
      </c>
      <c r="AO57" s="49">
        <v>0.59615384615384603</v>
      </c>
      <c r="AP57" s="49">
        <v>0.59615384615384603</v>
      </c>
      <c r="AQ57" s="49">
        <v>0.59615384615384603</v>
      </c>
      <c r="AR57" s="49">
        <v>0.31794871794871798</v>
      </c>
      <c r="AS57" s="49">
        <v>0.34615384615384598</v>
      </c>
      <c r="AT57" s="49">
        <v>0.39230769230769202</v>
      </c>
      <c r="AU57" s="49">
        <v>0.497435897435897</v>
      </c>
      <c r="AV57" s="49">
        <v>0.66172161172161204</v>
      </c>
      <c r="AW57" s="49">
        <v>0.59615384615384603</v>
      </c>
      <c r="AX57" s="49">
        <v>0.59615384615384603</v>
      </c>
      <c r="AY57" s="49">
        <v>0.59615384615384603</v>
      </c>
      <c r="AZ57" s="49">
        <v>2</v>
      </c>
      <c r="BA57" s="49">
        <v>1.5333333333333301</v>
      </c>
      <c r="BB57" s="49">
        <v>1.56666666666667</v>
      </c>
      <c r="BC57" s="49">
        <v>1.625</v>
      </c>
      <c r="BD57" s="49">
        <v>1.3260869565217399</v>
      </c>
      <c r="BE57" s="49">
        <v>1.18421052631579</v>
      </c>
      <c r="BF57" s="49">
        <v>1.18421052631579</v>
      </c>
      <c r="BG57" s="49">
        <v>1.18421052631579</v>
      </c>
      <c r="BH57" s="49">
        <v>42.777654786108997</v>
      </c>
      <c r="BI57" s="49">
        <v>15.089553458818999</v>
      </c>
      <c r="BJ57" s="49">
        <v>4.94711830825573</v>
      </c>
      <c r="BK57" s="49">
        <v>3.6793859481010398</v>
      </c>
      <c r="BL57" s="49">
        <v>225.86703764862901</v>
      </c>
      <c r="BM57" s="49">
        <v>92.991716854945096</v>
      </c>
      <c r="BN57" s="49">
        <v>41.845143605289003</v>
      </c>
      <c r="BO57" s="49">
        <v>10.824324006202</v>
      </c>
      <c r="BP57" s="49">
        <v>3.96495428726654</v>
      </c>
      <c r="BQ57" s="49">
        <v>380.95441643129698</v>
      </c>
      <c r="BR57" s="49">
        <v>0.18939308378700301</v>
      </c>
      <c r="BS57" s="49">
        <v>6.6807240294589301E-2</v>
      </c>
      <c r="BT57" s="49">
        <v>2.1902790065152101E-2</v>
      </c>
      <c r="BU57" s="49">
        <v>1.62900527071369E-2</v>
      </c>
      <c r="BV57" s="49">
        <v>0.244101952475239</v>
      </c>
      <c r="BW57" s="49">
        <v>0.109842915058672</v>
      </c>
      <c r="BX57" s="49">
        <v>2.8413698698133202E-2</v>
      </c>
      <c r="BY57" s="49">
        <v>1.04079493930256E-2</v>
      </c>
    </row>
    <row r="58" spans="1:77">
      <c r="A58" s="80">
        <v>56</v>
      </c>
      <c r="B58" s="49" t="s">
        <v>646</v>
      </c>
      <c r="C58" s="9">
        <v>1</v>
      </c>
      <c r="D58" s="49" t="s">
        <v>711</v>
      </c>
      <c r="E58" s="30" t="s">
        <v>712</v>
      </c>
      <c r="F58" s="30">
        <v>67094904</v>
      </c>
      <c r="G58" s="75">
        <v>33.857142857142854</v>
      </c>
      <c r="H58" s="49">
        <v>36</v>
      </c>
      <c r="I58" s="77">
        <v>0</v>
      </c>
      <c r="J58" s="30">
        <v>1528</v>
      </c>
      <c r="K58" s="77">
        <v>0</v>
      </c>
      <c r="L58" s="49">
        <v>0.23795712624773499</v>
      </c>
      <c r="M58" s="49">
        <v>0.316307002145365</v>
      </c>
      <c r="N58" s="49">
        <v>0.30298526756761801</v>
      </c>
      <c r="O58" s="49">
        <v>0.32872025488848</v>
      </c>
      <c r="P58" s="49">
        <v>0.50891997114494103</v>
      </c>
      <c r="Q58" s="49">
        <v>0.51583068964987899</v>
      </c>
      <c r="R58" s="49">
        <v>0.50501697648958799</v>
      </c>
      <c r="S58" s="49">
        <v>0.48309700209459799</v>
      </c>
      <c r="T58" s="49">
        <v>0.64954436184036701</v>
      </c>
      <c r="U58" s="49">
        <v>0.33116073861380901</v>
      </c>
      <c r="V58" s="49">
        <v>0.49259039487599299</v>
      </c>
      <c r="W58" s="49">
        <v>0.42755207482478003</v>
      </c>
      <c r="X58" s="49">
        <v>0.56433139212107497</v>
      </c>
      <c r="Y58" s="49">
        <v>0.61495521478910298</v>
      </c>
      <c r="Z58" s="49">
        <v>0.63035086886651504</v>
      </c>
      <c r="AA58" s="49">
        <v>0.68279580356159997</v>
      </c>
      <c r="AB58" s="49">
        <v>0.71505376344086002</v>
      </c>
      <c r="AC58" s="49">
        <v>0.63333333333333397</v>
      </c>
      <c r="AD58" s="49">
        <v>0.60518518518518605</v>
      </c>
      <c r="AE58" s="49">
        <v>0.54727272727272802</v>
      </c>
      <c r="AF58" s="49">
        <v>0.65598290598290598</v>
      </c>
      <c r="AG58" s="49">
        <v>0.66880341880341898</v>
      </c>
      <c r="AH58" s="49">
        <v>0.65705128205128205</v>
      </c>
      <c r="AI58" s="49">
        <v>0.65170940170940195</v>
      </c>
      <c r="AJ58" s="49">
        <v>0.773712874459908</v>
      </c>
      <c r="AK58" s="49">
        <v>0.37961921389570402</v>
      </c>
      <c r="AL58" s="49">
        <v>0.55910639338288404</v>
      </c>
      <c r="AM58" s="49">
        <v>0.48864927932160901</v>
      </c>
      <c r="AN58" s="49">
        <v>0.71502871087679798</v>
      </c>
      <c r="AO58" s="49">
        <v>0.78859525903289096</v>
      </c>
      <c r="AP58" s="49">
        <v>0.804708458315742</v>
      </c>
      <c r="AQ58" s="49">
        <v>0.90832523406969401</v>
      </c>
      <c r="AR58" s="49">
        <v>0.69230769230769196</v>
      </c>
      <c r="AS58" s="49">
        <v>0.269230769230769</v>
      </c>
      <c r="AT58" s="49">
        <v>0.44871794871794901</v>
      </c>
      <c r="AU58" s="49">
        <v>0.41538461538461502</v>
      </c>
      <c r="AV58" s="49">
        <v>0.61581196581196596</v>
      </c>
      <c r="AW58" s="49">
        <v>0.664468864468864</v>
      </c>
      <c r="AX58" s="49">
        <v>0.70915750915750897</v>
      </c>
      <c r="AY58" s="49">
        <v>0.74120879120879102</v>
      </c>
      <c r="AZ58" s="49">
        <v>1.7741935483871001</v>
      </c>
      <c r="BA58" s="49">
        <v>1.93333333333333</v>
      </c>
      <c r="BB58" s="49">
        <v>2.1777777777777798</v>
      </c>
      <c r="BC58" s="49">
        <v>2.47272727272727</v>
      </c>
      <c r="BD58" s="49">
        <v>1.8974358974359</v>
      </c>
      <c r="BE58" s="49">
        <v>1.7820512820512799</v>
      </c>
      <c r="BF58" s="49">
        <v>1.87179487179487</v>
      </c>
      <c r="BG58" s="49">
        <v>1.92307692307692</v>
      </c>
      <c r="BH58" s="49">
        <v>68.501477822664</v>
      </c>
      <c r="BI58" s="49">
        <v>30.127396281481101</v>
      </c>
      <c r="BJ58" s="49">
        <v>12.0667660040461</v>
      </c>
      <c r="BK58" s="49">
        <v>4.8986345035060603</v>
      </c>
      <c r="BL58" s="49">
        <v>331.68715045940502</v>
      </c>
      <c r="BM58" s="49">
        <v>96.374819177303493</v>
      </c>
      <c r="BN58" s="49">
        <v>26.150987837488401</v>
      </c>
      <c r="BO58" s="49">
        <v>12.337556668271301</v>
      </c>
      <c r="BP58" s="49">
        <v>5.8794332967264102</v>
      </c>
      <c r="BQ58" s="49">
        <v>398.06796607548199</v>
      </c>
      <c r="BR58" s="49">
        <v>0.206524364081592</v>
      </c>
      <c r="BS58" s="49">
        <v>9.0830760973866401E-2</v>
      </c>
      <c r="BT58" s="49">
        <v>3.63799622244423E-2</v>
      </c>
      <c r="BU58" s="49">
        <v>1.47688401456649E-2</v>
      </c>
      <c r="BV58" s="49">
        <v>0.24210644259435099</v>
      </c>
      <c r="BW58" s="49">
        <v>6.5694780957404803E-2</v>
      </c>
      <c r="BX58" s="49">
        <v>3.0993593355190498E-2</v>
      </c>
      <c r="BY58" s="49">
        <v>1.4769923223642499E-2</v>
      </c>
    </row>
    <row r="59" spans="1:77">
      <c r="A59" s="80">
        <v>57</v>
      </c>
      <c r="B59" s="49" t="s">
        <v>646</v>
      </c>
      <c r="C59" s="9">
        <v>1</v>
      </c>
      <c r="D59" s="49" t="s">
        <v>717</v>
      </c>
      <c r="E59" s="30" t="s">
        <v>718</v>
      </c>
      <c r="F59" s="30">
        <v>67132722</v>
      </c>
      <c r="G59" s="75">
        <v>32.714285714285715</v>
      </c>
      <c r="H59" s="49">
        <v>35.285714285714278</v>
      </c>
      <c r="I59" s="77">
        <v>0</v>
      </c>
      <c r="J59" s="30">
        <v>3832</v>
      </c>
      <c r="K59" s="77">
        <v>0</v>
      </c>
      <c r="L59" s="49">
        <v>0.27951833759447298</v>
      </c>
      <c r="M59" s="49">
        <v>0.21744102146184</v>
      </c>
      <c r="N59" s="49">
        <v>0.21870029875167801</v>
      </c>
      <c r="O59" s="49">
        <v>0.232417588542079</v>
      </c>
      <c r="P59" s="49">
        <v>0.36854888977843903</v>
      </c>
      <c r="Q59" s="49">
        <v>0.34193629948362703</v>
      </c>
      <c r="R59" s="49">
        <v>0.35845817496354299</v>
      </c>
      <c r="S59" s="49">
        <v>0.35777116726066599</v>
      </c>
      <c r="T59" s="49">
        <v>0.341186118310421</v>
      </c>
      <c r="U59" s="49">
        <v>0.36581142612928202</v>
      </c>
      <c r="V59" s="49">
        <v>0.325694659166408</v>
      </c>
      <c r="W59" s="49">
        <v>0.33755059291088702</v>
      </c>
      <c r="X59" s="49">
        <v>0.492575406534563</v>
      </c>
      <c r="Y59" s="49">
        <v>0.39724496080777599</v>
      </c>
      <c r="Z59" s="49">
        <v>0.45225985670631003</v>
      </c>
      <c r="AA59" s="49">
        <v>0.41470410853920597</v>
      </c>
      <c r="AB59" s="49">
        <v>0.56272727272727296</v>
      </c>
      <c r="AC59" s="49">
        <v>0.59703703703703703</v>
      </c>
      <c r="AD59" s="49">
        <v>0.62037037037037102</v>
      </c>
      <c r="AE59" s="49">
        <v>0.625925925925926</v>
      </c>
      <c r="AF59" s="49">
        <v>0.77272727272727304</v>
      </c>
      <c r="AG59" s="49">
        <v>0.71717171717171702</v>
      </c>
      <c r="AH59" s="49">
        <v>0.72979797979798</v>
      </c>
      <c r="AI59" s="49">
        <v>0.72474747474747503</v>
      </c>
      <c r="AJ59" s="49">
        <v>0.44615384615384601</v>
      </c>
      <c r="AK59" s="49">
        <v>0.55433876245506497</v>
      </c>
      <c r="AL59" s="49">
        <v>0.49153643183524498</v>
      </c>
      <c r="AM59" s="49">
        <v>0.50993336030687697</v>
      </c>
      <c r="AN59" s="49">
        <v>0.72065744015583899</v>
      </c>
      <c r="AO59" s="49">
        <v>0.69870343372481902</v>
      </c>
      <c r="AP59" s="49">
        <v>0.78975568130767704</v>
      </c>
      <c r="AQ59" s="49">
        <v>0.71521825777784898</v>
      </c>
      <c r="AR59" s="49">
        <v>0.44615384615384601</v>
      </c>
      <c r="AS59" s="49">
        <v>0.487179487179487</v>
      </c>
      <c r="AT59" s="49">
        <v>0.45897435897435901</v>
      </c>
      <c r="AU59" s="49">
        <v>0.46923076923076901</v>
      </c>
      <c r="AV59" s="49">
        <v>0.61043956043956105</v>
      </c>
      <c r="AW59" s="49">
        <v>0.59682539682539704</v>
      </c>
      <c r="AX59" s="49">
        <v>0.64047619047618998</v>
      </c>
      <c r="AY59" s="49">
        <v>0.64102564102564097</v>
      </c>
      <c r="AZ59" s="49">
        <v>2.2909090909090901</v>
      </c>
      <c r="BA59" s="49">
        <v>2.2222222222222201</v>
      </c>
      <c r="BB59" s="49">
        <v>2.0222222222222199</v>
      </c>
      <c r="BC59" s="49">
        <v>1.9777777777777801</v>
      </c>
      <c r="BD59" s="49">
        <v>1.4909090909090901</v>
      </c>
      <c r="BE59" s="49">
        <v>1.63636363636364</v>
      </c>
      <c r="BF59" s="49">
        <v>1.5606060606060601</v>
      </c>
      <c r="BG59" s="49">
        <v>1.5909090909090899</v>
      </c>
      <c r="BH59" s="49">
        <v>47.498973899590297</v>
      </c>
      <c r="BI59" s="49">
        <v>9.8820758563548807</v>
      </c>
      <c r="BJ59" s="49">
        <v>5.4897053974974304</v>
      </c>
      <c r="BK59" s="49">
        <v>3.2562547578902898</v>
      </c>
      <c r="BL59" s="49">
        <v>229.00899841248699</v>
      </c>
      <c r="BM59" s="49">
        <v>39.236535019394701</v>
      </c>
      <c r="BN59" s="49">
        <v>9.0345383148404004</v>
      </c>
      <c r="BO59" s="49">
        <v>4.4001112894789403</v>
      </c>
      <c r="BP59" s="49">
        <v>2.63243229557761</v>
      </c>
      <c r="BQ59" s="49">
        <v>177.878577050807</v>
      </c>
      <c r="BR59" s="49">
        <v>0.20741094991401099</v>
      </c>
      <c r="BS59" s="49">
        <v>4.3151474068086303E-2</v>
      </c>
      <c r="BT59" s="49">
        <v>2.39715707048745E-2</v>
      </c>
      <c r="BU59" s="49">
        <v>1.42188943686186E-2</v>
      </c>
      <c r="BV59" s="49">
        <v>0.22058044127589099</v>
      </c>
      <c r="BW59" s="49">
        <v>5.0790480026495097E-2</v>
      </c>
      <c r="BX59" s="49">
        <v>2.4736600452015801E-2</v>
      </c>
      <c r="BY59" s="49">
        <v>1.47990406670822E-2</v>
      </c>
    </row>
    <row r="60" spans="1:77">
      <c r="A60" s="80">
        <v>58</v>
      </c>
      <c r="B60" s="49" t="s">
        <v>646</v>
      </c>
      <c r="C60" s="9">
        <v>1</v>
      </c>
      <c r="D60" s="49" t="s">
        <v>719</v>
      </c>
      <c r="E60" s="30" t="s">
        <v>216</v>
      </c>
      <c r="F60" s="30">
        <v>66851741</v>
      </c>
      <c r="G60" s="75">
        <v>31.142857142857142</v>
      </c>
      <c r="H60" s="80">
        <v>36.285714285714278</v>
      </c>
      <c r="I60" s="77">
        <v>0</v>
      </c>
      <c r="J60" s="30">
        <v>9048</v>
      </c>
      <c r="K60" s="77">
        <v>0</v>
      </c>
      <c r="L60" s="49">
        <v>0.29372397139558298</v>
      </c>
      <c r="M60" s="49">
        <v>0.30227741872626501</v>
      </c>
      <c r="N60" s="49">
        <v>0.30132247510558102</v>
      </c>
      <c r="O60" s="49">
        <v>0.30062527868423899</v>
      </c>
      <c r="P60" s="49">
        <v>0.43621582749573901</v>
      </c>
      <c r="Q60" s="49">
        <v>0.47471522227155799</v>
      </c>
      <c r="R60" s="49">
        <v>0.51726217726332901</v>
      </c>
      <c r="S60" s="49">
        <v>0.50850778439952904</v>
      </c>
      <c r="T60" s="49">
        <v>0.39577246189754201</v>
      </c>
      <c r="U60" s="49">
        <v>0.36039813093022</v>
      </c>
      <c r="V60" s="49">
        <v>0.35930230281984998</v>
      </c>
      <c r="W60" s="49">
        <v>0.357164831496946</v>
      </c>
      <c r="X60" s="49">
        <v>0.58496608694595997</v>
      </c>
      <c r="Y60" s="49">
        <v>0.54466898617878601</v>
      </c>
      <c r="Z60" s="49">
        <v>0.448164009719631</v>
      </c>
      <c r="AA60" s="49">
        <v>0.65155790986914397</v>
      </c>
      <c r="AB60" s="49">
        <v>0.53744588744588795</v>
      </c>
      <c r="AC60" s="49">
        <v>0.55878787878787906</v>
      </c>
      <c r="AD60" s="49">
        <v>0.55878787878787906</v>
      </c>
      <c r="AE60" s="49">
        <v>0.55878787878787906</v>
      </c>
      <c r="AF60" s="49">
        <v>0.77272727272727304</v>
      </c>
      <c r="AG60" s="49">
        <v>0.70454545454545503</v>
      </c>
      <c r="AH60" s="49">
        <v>0.65384615384615397</v>
      </c>
      <c r="AI60" s="49">
        <v>0.65598290598290598</v>
      </c>
      <c r="AJ60" s="49">
        <v>0.49886062641680101</v>
      </c>
      <c r="AK60" s="49">
        <v>0.45380978944476802</v>
      </c>
      <c r="AL60" s="49">
        <v>0.45380978944476802</v>
      </c>
      <c r="AM60" s="49">
        <v>0.45380978944476802</v>
      </c>
      <c r="AN60" s="49">
        <v>0.72415367516221196</v>
      </c>
      <c r="AO60" s="49">
        <v>0.67902941454613697</v>
      </c>
      <c r="AP60" s="49">
        <v>0.55365844718299195</v>
      </c>
      <c r="AQ60" s="49">
        <v>0.82990634292670296</v>
      </c>
      <c r="AR60" s="49">
        <v>0.35897435897435898</v>
      </c>
      <c r="AS60" s="49">
        <v>0.38461538461538503</v>
      </c>
      <c r="AT60" s="49">
        <v>0.38461538461538503</v>
      </c>
      <c r="AU60" s="49">
        <v>0.38461538461538503</v>
      </c>
      <c r="AV60" s="49">
        <v>0.63736263736263699</v>
      </c>
      <c r="AW60" s="49">
        <v>0.60042735042734996</v>
      </c>
      <c r="AX60" s="49">
        <v>0.49578754578754602</v>
      </c>
      <c r="AY60" s="49">
        <v>0.67765567765567802</v>
      </c>
      <c r="AZ60" s="49">
        <v>2.6545454545454499</v>
      </c>
      <c r="BA60" s="49">
        <v>2.3818181818181801</v>
      </c>
      <c r="BB60" s="49">
        <v>2.3818181818181801</v>
      </c>
      <c r="BC60" s="49">
        <v>2.3818181818181801</v>
      </c>
      <c r="BD60" s="49">
        <v>1.4909090909090901</v>
      </c>
      <c r="BE60" s="49">
        <v>1.7121212121212099</v>
      </c>
      <c r="BF60" s="49">
        <v>1.8974358974359</v>
      </c>
      <c r="BG60" s="49">
        <v>1.8846153846153799</v>
      </c>
      <c r="BH60" s="49">
        <v>51.283712113954202</v>
      </c>
      <c r="BI60" s="49">
        <v>16.191301928698898</v>
      </c>
      <c r="BJ60" s="49">
        <v>6.1157109993194396</v>
      </c>
      <c r="BK60" s="49">
        <v>3.1243060634925799</v>
      </c>
      <c r="BL60" s="49">
        <v>263.98161065756898</v>
      </c>
      <c r="BM60" s="49">
        <v>61.1012911255877</v>
      </c>
      <c r="BN60" s="49">
        <v>23.5007776522162</v>
      </c>
      <c r="BO60" s="49">
        <v>9.0042815663935905</v>
      </c>
      <c r="BP60" s="49">
        <v>4.1060237514390696</v>
      </c>
      <c r="BQ60" s="49">
        <v>330.48810725904701</v>
      </c>
      <c r="BR60" s="49">
        <v>0.19427001746905101</v>
      </c>
      <c r="BS60" s="49">
        <v>6.1334961508746698E-2</v>
      </c>
      <c r="BT60" s="49">
        <v>2.3167185714510301E-2</v>
      </c>
      <c r="BU60" s="49">
        <v>1.18353170726932E-2</v>
      </c>
      <c r="BV60" s="49">
        <v>0.184881966350743</v>
      </c>
      <c r="BW60" s="49">
        <v>7.1109299052009703E-2</v>
      </c>
      <c r="BX60" s="49">
        <v>2.72454026895914E-2</v>
      </c>
      <c r="BY60" s="49">
        <v>1.2424119540920899E-2</v>
      </c>
    </row>
    <row r="61" spans="1:77">
      <c r="A61" s="80">
        <v>59</v>
      </c>
      <c r="B61" s="49" t="s">
        <v>646</v>
      </c>
      <c r="C61" s="9">
        <v>1</v>
      </c>
      <c r="D61" s="49" t="s">
        <v>723</v>
      </c>
      <c r="E61" s="30" t="s">
        <v>724</v>
      </c>
      <c r="F61" s="30">
        <v>67212274</v>
      </c>
      <c r="G61" s="75">
        <v>32.714285714285715</v>
      </c>
      <c r="H61" s="49">
        <v>35.857142857142847</v>
      </c>
      <c r="I61" s="77">
        <v>0</v>
      </c>
      <c r="J61" s="30">
        <v>3808</v>
      </c>
      <c r="K61" s="77">
        <v>0</v>
      </c>
      <c r="L61" s="49">
        <v>0.219759556328123</v>
      </c>
      <c r="M61" s="49">
        <v>0.197529359388188</v>
      </c>
      <c r="N61" s="49">
        <v>0.19674089090480101</v>
      </c>
      <c r="O61" s="49">
        <v>0.19268178669884201</v>
      </c>
      <c r="P61" s="49">
        <v>0.38395201389440697</v>
      </c>
      <c r="Q61" s="49">
        <v>0.311221074116875</v>
      </c>
      <c r="R61" s="49">
        <v>0.32805376371648198</v>
      </c>
      <c r="S61" s="49">
        <v>0.32799850332759201</v>
      </c>
      <c r="T61" s="49">
        <v>0.32816629005586201</v>
      </c>
      <c r="U61" s="49">
        <v>0.32403302055539002</v>
      </c>
      <c r="V61" s="49">
        <v>0.32055415656243202</v>
      </c>
      <c r="W61" s="49">
        <v>0.31434847101074598</v>
      </c>
      <c r="X61" s="49">
        <v>0.56362830230707195</v>
      </c>
      <c r="Y61" s="49">
        <v>0.45871857402164301</v>
      </c>
      <c r="Z61" s="49">
        <v>0.40651833818906002</v>
      </c>
      <c r="AA61" s="49">
        <v>0.40733538857965002</v>
      </c>
      <c r="AB61" s="49">
        <v>0.74193548387096797</v>
      </c>
      <c r="AC61" s="49">
        <v>0.74731182795698903</v>
      </c>
      <c r="AD61" s="49">
        <v>0.74731182795698903</v>
      </c>
      <c r="AE61" s="49">
        <v>0.74731182795698903</v>
      </c>
      <c r="AF61" s="49">
        <v>0.77575757575757598</v>
      </c>
      <c r="AG61" s="49">
        <v>0.77575757575757598</v>
      </c>
      <c r="AH61" s="49">
        <v>0.68484848484848504</v>
      </c>
      <c r="AI61" s="49">
        <v>0.68106060606060603</v>
      </c>
      <c r="AJ61" s="49">
        <v>0.44225256578088001</v>
      </c>
      <c r="AK61" s="49">
        <v>0.48801643231858599</v>
      </c>
      <c r="AL61" s="49">
        <v>0.48773032669517202</v>
      </c>
      <c r="AM61" s="49">
        <v>0.48773032669517202</v>
      </c>
      <c r="AN61" s="49">
        <v>0.80508024239890397</v>
      </c>
      <c r="AO61" s="49">
        <v>0.81190366551898496</v>
      </c>
      <c r="AP61" s="49">
        <v>0.70282467102371204</v>
      </c>
      <c r="AQ61" s="49">
        <v>0.69510496937392197</v>
      </c>
      <c r="AR61" s="49">
        <v>0.37179487179487197</v>
      </c>
      <c r="AS61" s="49">
        <v>0.40256410256410302</v>
      </c>
      <c r="AT61" s="49">
        <v>0.39743589743589702</v>
      </c>
      <c r="AU61" s="49">
        <v>0.39743589743589702</v>
      </c>
      <c r="AV61" s="49">
        <v>0.65641025641025696</v>
      </c>
      <c r="AW61" s="49">
        <v>0.68681318681318704</v>
      </c>
      <c r="AX61" s="49">
        <v>0.59798534798534797</v>
      </c>
      <c r="AY61" s="49">
        <v>0.60989010989011005</v>
      </c>
      <c r="AZ61" s="49">
        <v>1.5806451612903201</v>
      </c>
      <c r="BA61" s="49">
        <v>1.54838709677419</v>
      </c>
      <c r="BB61" s="49">
        <v>1.54838709677419</v>
      </c>
      <c r="BC61" s="49">
        <v>1.54838709677419</v>
      </c>
      <c r="BD61" s="49">
        <v>1.47272727272727</v>
      </c>
      <c r="BE61" s="49">
        <v>1.47272727272727</v>
      </c>
      <c r="BF61" s="49">
        <v>1.89393939393939</v>
      </c>
      <c r="BG61" s="49">
        <v>1.9242424242424201</v>
      </c>
      <c r="BH61" s="49">
        <v>53.0688039687114</v>
      </c>
      <c r="BI61" s="49">
        <v>10.328421399291599</v>
      </c>
      <c r="BJ61" s="49">
        <v>4.5924649696213704</v>
      </c>
      <c r="BK61" s="49">
        <v>3.2458797432419901</v>
      </c>
      <c r="BL61" s="49">
        <v>262.98361859000102</v>
      </c>
      <c r="BM61" s="49">
        <v>44.676821704209303</v>
      </c>
      <c r="BN61" s="49">
        <v>9.2123974319631898</v>
      </c>
      <c r="BO61" s="49">
        <v>4.0628258332569196</v>
      </c>
      <c r="BP61" s="49">
        <v>2.9211313862039301</v>
      </c>
      <c r="BQ61" s="49">
        <v>243.59413323617599</v>
      </c>
      <c r="BR61" s="49">
        <v>0.20179509375238799</v>
      </c>
      <c r="BS61" s="49">
        <v>3.9274010505551203E-2</v>
      </c>
      <c r="BT61" s="49">
        <v>1.7462931699868199E-2</v>
      </c>
      <c r="BU61" s="49">
        <v>1.23425168481783E-2</v>
      </c>
      <c r="BV61" s="49">
        <v>0.183406805043589</v>
      </c>
      <c r="BW61" s="49">
        <v>3.7818634256808398E-2</v>
      </c>
      <c r="BX61" s="49">
        <v>1.66786686496995E-2</v>
      </c>
      <c r="BY61" s="49">
        <v>1.1991796959131801E-2</v>
      </c>
    </row>
    <row r="62" spans="1:77">
      <c r="A62" s="80">
        <v>60</v>
      </c>
      <c r="B62" s="49" t="s">
        <v>646</v>
      </c>
      <c r="C62" s="9">
        <v>1</v>
      </c>
      <c r="D62" s="49" t="s">
        <v>725</v>
      </c>
      <c r="E62" s="30" t="s">
        <v>726</v>
      </c>
      <c r="F62" s="30">
        <v>67191969</v>
      </c>
      <c r="G62" s="75">
        <v>34</v>
      </c>
      <c r="H62" s="49">
        <v>36.714285714285722</v>
      </c>
      <c r="I62" s="77">
        <v>0</v>
      </c>
      <c r="J62" s="30">
        <v>2328</v>
      </c>
      <c r="K62" s="77">
        <v>0</v>
      </c>
      <c r="L62" s="49">
        <v>0.25218597405641802</v>
      </c>
      <c r="M62" s="49">
        <v>0.238529959243103</v>
      </c>
      <c r="N62" s="49">
        <v>0.24170925455237399</v>
      </c>
      <c r="O62" s="49">
        <v>0.227170436295724</v>
      </c>
      <c r="P62" s="49">
        <v>0.45712042809623898</v>
      </c>
      <c r="Q62" s="49">
        <v>0.424441551983058</v>
      </c>
      <c r="R62" s="49">
        <v>0.360017609485205</v>
      </c>
      <c r="S62" s="49">
        <v>0.38870629998661199</v>
      </c>
      <c r="T62" s="49">
        <v>0.38812331221400298</v>
      </c>
      <c r="U62" s="49">
        <v>0.36329250913149003</v>
      </c>
      <c r="V62" s="49">
        <v>0.36570983204002</v>
      </c>
      <c r="W62" s="49">
        <v>0.34444337494462302</v>
      </c>
      <c r="X62" s="49">
        <v>0.52688931695225505</v>
      </c>
      <c r="Y62" s="49">
        <v>0.535272114860599</v>
      </c>
      <c r="Z62" s="49">
        <v>0.52516223447862698</v>
      </c>
      <c r="AA62" s="49">
        <v>0.491244172194504</v>
      </c>
      <c r="AB62" s="49">
        <v>0.598518518518519</v>
      </c>
      <c r="AC62" s="49">
        <v>0.598518518518519</v>
      </c>
      <c r="AD62" s="49">
        <v>0.624074074074074</v>
      </c>
      <c r="AE62" s="49">
        <v>0.598518518518519</v>
      </c>
      <c r="AF62" s="49">
        <v>0.71717171717171702</v>
      </c>
      <c r="AG62" s="49">
        <v>0.71464646464646497</v>
      </c>
      <c r="AH62" s="49">
        <v>0.78181818181818197</v>
      </c>
      <c r="AI62" s="49">
        <v>0.71464646464646497</v>
      </c>
      <c r="AJ62" s="49">
        <v>0.52018977056328697</v>
      </c>
      <c r="AK62" s="49">
        <v>0.52018977056328697</v>
      </c>
      <c r="AL62" s="49">
        <v>0.52999797029678397</v>
      </c>
      <c r="AM62" s="49">
        <v>0.52018977056328697</v>
      </c>
      <c r="AN62" s="49">
        <v>0.68857734399927195</v>
      </c>
      <c r="AO62" s="49">
        <v>0.76220703839972204</v>
      </c>
      <c r="AP62" s="49">
        <v>0.81149914359541697</v>
      </c>
      <c r="AQ62" s="49">
        <v>0.761451362670726</v>
      </c>
      <c r="AR62" s="49">
        <v>0.47948717948718</v>
      </c>
      <c r="AS62" s="49">
        <v>0.47948717948718</v>
      </c>
      <c r="AT62" s="49">
        <v>0.497435897435897</v>
      </c>
      <c r="AU62" s="49">
        <v>0.47948717948718</v>
      </c>
      <c r="AV62" s="49">
        <v>0.58876678876678901</v>
      </c>
      <c r="AW62" s="49">
        <v>0.64371184371184398</v>
      </c>
      <c r="AX62" s="49">
        <v>0.68534798534798502</v>
      </c>
      <c r="AY62" s="49">
        <v>0.64004884004884</v>
      </c>
      <c r="AZ62" s="49">
        <v>2.24444444444444</v>
      </c>
      <c r="BA62" s="49">
        <v>2.24444444444444</v>
      </c>
      <c r="BB62" s="49">
        <v>2</v>
      </c>
      <c r="BC62" s="49">
        <v>2.24444444444444</v>
      </c>
      <c r="BD62" s="49">
        <v>1.63636363636364</v>
      </c>
      <c r="BE62" s="49">
        <v>1.65151515151515</v>
      </c>
      <c r="BF62" s="49">
        <v>1.4363636363636401</v>
      </c>
      <c r="BG62" s="49">
        <v>1.65151515151515</v>
      </c>
      <c r="BH62" s="49">
        <v>34.6268503797981</v>
      </c>
      <c r="BI62" s="49">
        <v>8.65618607587054</v>
      </c>
      <c r="BJ62" s="49">
        <v>4.08361874405868</v>
      </c>
      <c r="BK62" s="49">
        <v>2.4166414075229801</v>
      </c>
      <c r="BL62" s="49">
        <v>243.56331699862301</v>
      </c>
      <c r="BM62" s="49">
        <v>65.915545272231597</v>
      </c>
      <c r="BN62" s="49">
        <v>8.5613527209533604</v>
      </c>
      <c r="BO62" s="49">
        <v>3.35514396428868</v>
      </c>
      <c r="BP62" s="49">
        <v>2.4164416609727701</v>
      </c>
      <c r="BQ62" s="49">
        <v>345.595827953477</v>
      </c>
      <c r="BR62" s="49">
        <v>0.14216775664947101</v>
      </c>
      <c r="BS62" s="49">
        <v>3.5539777428468297E-2</v>
      </c>
      <c r="BT62" s="49">
        <v>1.6766148508651501E-2</v>
      </c>
      <c r="BU62" s="49">
        <v>9.9220253579344903E-3</v>
      </c>
      <c r="BV62" s="49">
        <v>0.19073015337761801</v>
      </c>
      <c r="BW62" s="49">
        <v>2.47727316954355E-2</v>
      </c>
      <c r="BX62" s="49">
        <v>9.7082883903920909E-3</v>
      </c>
      <c r="BY62" s="49">
        <v>6.9921031028709899E-3</v>
      </c>
    </row>
    <row r="63" spans="1:77">
      <c r="A63" s="80">
        <v>61</v>
      </c>
      <c r="B63" s="49" t="s">
        <v>646</v>
      </c>
      <c r="C63" s="9">
        <v>1</v>
      </c>
      <c r="D63" s="49" t="s">
        <v>740</v>
      </c>
      <c r="E63" s="30" t="s">
        <v>741</v>
      </c>
      <c r="F63" s="30">
        <v>67095023</v>
      </c>
      <c r="G63" s="75">
        <v>28.857142857142858</v>
      </c>
      <c r="H63" s="49">
        <v>36.571428571428569</v>
      </c>
      <c r="I63" s="77">
        <v>7.7279752704791344E-2</v>
      </c>
      <c r="J63" s="30">
        <v>10352</v>
      </c>
      <c r="K63" s="77">
        <v>7.7279752704791344E-2</v>
      </c>
      <c r="L63" s="49">
        <v>0.28563834415744799</v>
      </c>
      <c r="M63" s="49">
        <v>0.27171685336600199</v>
      </c>
      <c r="N63" s="49">
        <v>0.26442242340155903</v>
      </c>
      <c r="O63" s="49">
        <v>0.25756216439164598</v>
      </c>
      <c r="P63" s="49">
        <v>0.39742825142683602</v>
      </c>
      <c r="Q63" s="49">
        <v>0.37562983028157698</v>
      </c>
      <c r="R63" s="49">
        <v>0.40385831794691801</v>
      </c>
      <c r="S63" s="49">
        <v>0.40516637903216401</v>
      </c>
      <c r="T63" s="49">
        <v>0.39713189692642198</v>
      </c>
      <c r="U63" s="49">
        <v>0.25558600774136803</v>
      </c>
      <c r="V63" s="49">
        <v>0.246600122326606</v>
      </c>
      <c r="W63" s="49">
        <v>0.32638461170282501</v>
      </c>
      <c r="X63" s="49">
        <v>0.47932931274429003</v>
      </c>
      <c r="Y63" s="49">
        <v>0.48203372671517097</v>
      </c>
      <c r="Z63" s="49">
        <v>0.52466868828684299</v>
      </c>
      <c r="AA63" s="49">
        <v>0.53100834371468297</v>
      </c>
      <c r="AB63" s="49">
        <v>0.49018759018759001</v>
      </c>
      <c r="AC63" s="49">
        <v>0.50090187590187596</v>
      </c>
      <c r="AD63" s="49">
        <v>0.50090187590187596</v>
      </c>
      <c r="AE63" s="49">
        <v>0.50505050505050497</v>
      </c>
      <c r="AF63" s="49">
        <v>0.69823232323232298</v>
      </c>
      <c r="AG63" s="49">
        <v>0.70454545454545403</v>
      </c>
      <c r="AH63" s="49">
        <v>0.66666666666666696</v>
      </c>
      <c r="AI63" s="49">
        <v>0.66666666666666696</v>
      </c>
      <c r="AJ63" s="49">
        <v>0.57916412953764596</v>
      </c>
      <c r="AK63" s="49">
        <v>0.391984642358159</v>
      </c>
      <c r="AL63" s="49">
        <v>0.391984642358159</v>
      </c>
      <c r="AM63" s="49">
        <v>0.54558850874216303</v>
      </c>
      <c r="AN63" s="49">
        <v>0.70600829467689996</v>
      </c>
      <c r="AO63" s="49">
        <v>0.75632543336121505</v>
      </c>
      <c r="AP63" s="49">
        <v>0.85165210383171597</v>
      </c>
      <c r="AQ63" s="49">
        <v>0.86598348319623297</v>
      </c>
      <c r="AR63" s="49">
        <v>0.53846153846153799</v>
      </c>
      <c r="AS63" s="49">
        <v>0.35128205128205098</v>
      </c>
      <c r="AT63" s="49">
        <v>0.35128205128205098</v>
      </c>
      <c r="AU63" s="49">
        <v>0.47435897435897401</v>
      </c>
      <c r="AV63" s="49">
        <v>0.55000000000000004</v>
      </c>
      <c r="AW63" s="49">
        <v>0.61336996336996297</v>
      </c>
      <c r="AX63" s="49">
        <v>0.67442002442002502</v>
      </c>
      <c r="AY63" s="49">
        <v>0.74584859584859597</v>
      </c>
      <c r="AZ63" s="49">
        <v>2.9696969696969702</v>
      </c>
      <c r="BA63" s="49">
        <v>2.7878787878787898</v>
      </c>
      <c r="BB63" s="49">
        <v>2.7878787878787898</v>
      </c>
      <c r="BC63" s="49">
        <v>2.7121212121212102</v>
      </c>
      <c r="BD63" s="49">
        <v>1.77272727272727</v>
      </c>
      <c r="BE63" s="49">
        <v>1.72727272727273</v>
      </c>
      <c r="BF63" s="49">
        <v>1.8076923076923099</v>
      </c>
      <c r="BG63" s="49">
        <v>1.8076923076923099</v>
      </c>
      <c r="BH63" s="49">
        <v>19.024136175474599</v>
      </c>
      <c r="BI63" s="49">
        <v>5.3517072790374902</v>
      </c>
      <c r="BJ63" s="49">
        <v>2.8519239899110702</v>
      </c>
      <c r="BK63" s="49">
        <v>1.3569540608057999</v>
      </c>
      <c r="BL63" s="49">
        <v>124.724291073503</v>
      </c>
      <c r="BM63" s="49">
        <v>37.480780433597502</v>
      </c>
      <c r="BN63" s="49">
        <v>8.7718145940603698</v>
      </c>
      <c r="BO63" s="49">
        <v>3.2846918576045501</v>
      </c>
      <c r="BP63" s="49">
        <v>2.1655086128482202</v>
      </c>
      <c r="BQ63" s="49">
        <v>204.02558328295899</v>
      </c>
      <c r="BR63" s="49">
        <v>0.15252951940422901</v>
      </c>
      <c r="BS63" s="49">
        <v>4.2908299842599099E-2</v>
      </c>
      <c r="BT63" s="49">
        <v>2.2865826418931999E-2</v>
      </c>
      <c r="BU63" s="49">
        <v>1.0879629373929301E-2</v>
      </c>
      <c r="BV63" s="49">
        <v>0.183706277568221</v>
      </c>
      <c r="BW63" s="49">
        <v>4.2993699382762797E-2</v>
      </c>
      <c r="BX63" s="49">
        <v>1.6099411675491102E-2</v>
      </c>
      <c r="BY63" s="49">
        <v>1.0613907226746801E-2</v>
      </c>
    </row>
    <row r="64" spans="1:77">
      <c r="A64" s="80">
        <v>62</v>
      </c>
      <c r="B64" s="49" t="s">
        <v>646</v>
      </c>
      <c r="C64" s="9">
        <v>1</v>
      </c>
      <c r="D64" s="49" t="s">
        <v>744</v>
      </c>
      <c r="E64" s="30" t="s">
        <v>745</v>
      </c>
      <c r="F64" s="30">
        <v>67114181</v>
      </c>
      <c r="G64" s="75">
        <v>33.142857142857146</v>
      </c>
      <c r="H64" s="80">
        <v>37.857142857142847</v>
      </c>
      <c r="I64" s="77">
        <v>0</v>
      </c>
      <c r="J64" s="30">
        <v>6272</v>
      </c>
      <c r="K64" s="77">
        <v>0</v>
      </c>
      <c r="L64" s="49">
        <v>0.232883255672414</v>
      </c>
      <c r="M64" s="49">
        <v>0.26508093669278499</v>
      </c>
      <c r="N64" s="49">
        <v>0.24752522948134001</v>
      </c>
      <c r="O64" s="49">
        <v>0.28169797438184402</v>
      </c>
      <c r="P64" s="49">
        <v>0.40576302034471901</v>
      </c>
      <c r="Q64" s="49">
        <v>0.35907107993232701</v>
      </c>
      <c r="R64" s="49">
        <v>0.35637158372348299</v>
      </c>
      <c r="S64" s="49">
        <v>0.36862240512380001</v>
      </c>
      <c r="T64" s="49">
        <v>0.37300740496781698</v>
      </c>
      <c r="U64" s="49">
        <v>0.267532942920999</v>
      </c>
      <c r="V64" s="49">
        <v>0.38930271668938898</v>
      </c>
      <c r="W64" s="49">
        <v>0.29198984571736297</v>
      </c>
      <c r="X64" s="49">
        <v>0.46486271805660201</v>
      </c>
      <c r="Y64" s="49">
        <v>0.46632543256192699</v>
      </c>
      <c r="Z64" s="49">
        <v>0.52544465483797698</v>
      </c>
      <c r="AA64" s="49">
        <v>0.546061076241666</v>
      </c>
      <c r="AB64" s="49">
        <v>0.68918918918918903</v>
      </c>
      <c r="AC64" s="49">
        <v>0.50883838383838398</v>
      </c>
      <c r="AD64" s="49">
        <v>0.55393939393939395</v>
      </c>
      <c r="AE64" s="49">
        <v>0.51515151515151503</v>
      </c>
      <c r="AF64" s="49">
        <v>0.62115384615384595</v>
      </c>
      <c r="AG64" s="49">
        <v>0.63440170940170904</v>
      </c>
      <c r="AH64" s="49">
        <v>0.70454545454545503</v>
      </c>
      <c r="AI64" s="49">
        <v>0.70454545454545503</v>
      </c>
      <c r="AJ64" s="49">
        <v>0.51978537820163695</v>
      </c>
      <c r="AK64" s="49">
        <v>0.40903569426109498</v>
      </c>
      <c r="AL64" s="49">
        <v>0.58693719971733704</v>
      </c>
      <c r="AM64" s="49">
        <v>0.44102564102564101</v>
      </c>
      <c r="AN64" s="49">
        <v>0.70335703952044604</v>
      </c>
      <c r="AO64" s="49">
        <v>0.80071838786089999</v>
      </c>
      <c r="AP64" s="49">
        <v>0.87025080981341896</v>
      </c>
      <c r="AQ64" s="49">
        <v>0.87566933350307197</v>
      </c>
      <c r="AR64" s="49">
        <v>0.46153846153846201</v>
      </c>
      <c r="AS64" s="49">
        <v>0.29230769230769199</v>
      </c>
      <c r="AT64" s="49">
        <v>0.55641025641025599</v>
      </c>
      <c r="AU64" s="49">
        <v>0.44102564102564101</v>
      </c>
      <c r="AV64" s="49">
        <v>0.60769230769230798</v>
      </c>
      <c r="AW64" s="49">
        <v>0.72857142857142898</v>
      </c>
      <c r="AX64" s="49">
        <v>0.68260073260073295</v>
      </c>
      <c r="AY64" s="49">
        <v>0.71153846153846201</v>
      </c>
      <c r="AZ64" s="49">
        <v>1.72972972972973</v>
      </c>
      <c r="BA64" s="49">
        <v>2.6969696969696999</v>
      </c>
      <c r="BB64" s="49">
        <v>2.4</v>
      </c>
      <c r="BC64" s="49">
        <v>2.5909090909090899</v>
      </c>
      <c r="BD64" s="49">
        <v>2.2179487179487198</v>
      </c>
      <c r="BE64" s="49">
        <v>2.0641025641025599</v>
      </c>
      <c r="BF64" s="49">
        <v>1.72727272727273</v>
      </c>
      <c r="BG64" s="49">
        <v>1.72727272727273</v>
      </c>
      <c r="BH64" s="49">
        <v>54.4629755280097</v>
      </c>
      <c r="BI64" s="49">
        <v>17.085391944993599</v>
      </c>
      <c r="BJ64" s="49">
        <v>6.2242969945904099</v>
      </c>
      <c r="BK64" s="49">
        <v>3.1886496175464298</v>
      </c>
      <c r="BL64" s="49">
        <v>257.81842789267898</v>
      </c>
      <c r="BM64" s="49">
        <v>70.7007444951483</v>
      </c>
      <c r="BN64" s="49">
        <v>18.070438226382301</v>
      </c>
      <c r="BO64" s="49">
        <v>6.6869690585118002</v>
      </c>
      <c r="BP64" s="49">
        <v>3.4438843244117101</v>
      </c>
      <c r="BQ64" s="49">
        <v>283.63037826494701</v>
      </c>
      <c r="BR64" s="49">
        <v>0.21124547214553999</v>
      </c>
      <c r="BS64" s="49">
        <v>6.6269087452917499E-2</v>
      </c>
      <c r="BT64" s="49">
        <v>2.4142172634693801E-2</v>
      </c>
      <c r="BU64" s="49">
        <v>1.23678111126865E-2</v>
      </c>
      <c r="BV64" s="49">
        <v>0.24927070551344399</v>
      </c>
      <c r="BW64" s="49">
        <v>6.3711222813736298E-2</v>
      </c>
      <c r="BX64" s="49">
        <v>2.3576349964407901E-2</v>
      </c>
      <c r="BY64" s="49">
        <v>1.2142156088776499E-2</v>
      </c>
    </row>
    <row r="65" spans="1:77">
      <c r="A65" s="80">
        <v>63</v>
      </c>
      <c r="B65" s="49" t="s">
        <v>646</v>
      </c>
      <c r="C65" s="9">
        <v>1</v>
      </c>
      <c r="D65" s="49" t="s">
        <v>747</v>
      </c>
      <c r="E65" s="9" t="s">
        <v>787</v>
      </c>
      <c r="F65" s="9">
        <v>66992701</v>
      </c>
      <c r="G65" s="37">
        <v>27.857142857142858</v>
      </c>
      <c r="H65" s="49">
        <v>38</v>
      </c>
      <c r="I65" s="71">
        <v>0</v>
      </c>
      <c r="J65" s="9">
        <v>47944</v>
      </c>
      <c r="K65" s="71">
        <v>0</v>
      </c>
      <c r="L65" s="49">
        <v>0.34203467138170701</v>
      </c>
      <c r="M65" s="49">
        <v>0.35872473488295697</v>
      </c>
      <c r="N65" s="49">
        <v>0.35958203736753802</v>
      </c>
      <c r="O65" s="49">
        <v>0.31700285514253401</v>
      </c>
      <c r="P65" s="49">
        <v>0.56966331067334197</v>
      </c>
      <c r="Q65" s="49">
        <v>0.52306746355508804</v>
      </c>
      <c r="R65" s="49">
        <v>0.52114237233453697</v>
      </c>
      <c r="S65" s="49">
        <v>0.46604678462045801</v>
      </c>
      <c r="T65" s="49">
        <v>0.36005884097872398</v>
      </c>
      <c r="U65" s="49">
        <v>0.27624680910433003</v>
      </c>
      <c r="V65" s="49">
        <v>0.26804974791992298</v>
      </c>
      <c r="W65" s="49">
        <v>0.23247552623597401</v>
      </c>
      <c r="X65" s="49">
        <v>0.53333146874239901</v>
      </c>
      <c r="Y65" s="49">
        <v>0.672405601530498</v>
      </c>
      <c r="Z65" s="49">
        <v>0.52982234857945698</v>
      </c>
      <c r="AA65" s="49">
        <v>0.54623130943687304</v>
      </c>
      <c r="AB65" s="49">
        <v>0.56904761904761902</v>
      </c>
      <c r="AC65" s="49">
        <v>0.52474747474747496</v>
      </c>
      <c r="AD65" s="49">
        <v>0.52853535353535397</v>
      </c>
      <c r="AE65" s="49">
        <v>0.57090909090909103</v>
      </c>
      <c r="AF65" s="49">
        <v>0.66025641025641002</v>
      </c>
      <c r="AG65" s="49">
        <v>0.71969696969696995</v>
      </c>
      <c r="AH65" s="49">
        <v>0.71085858585858597</v>
      </c>
      <c r="AI65" s="49">
        <v>0.76969696969696999</v>
      </c>
      <c r="AJ65" s="49">
        <v>0.42275387312738999</v>
      </c>
      <c r="AK65" s="49">
        <v>0.34184129958408499</v>
      </c>
      <c r="AL65" s="49">
        <v>0.33406822940439401</v>
      </c>
      <c r="AM65" s="49">
        <v>0.29666463696345002</v>
      </c>
      <c r="AN65" s="49">
        <v>0.60441007566673499</v>
      </c>
      <c r="AO65" s="49">
        <v>0.78072405435867398</v>
      </c>
      <c r="AP65" s="49">
        <v>0.60619843349118496</v>
      </c>
      <c r="AQ65" s="49">
        <v>0.63220470240122595</v>
      </c>
      <c r="AR65" s="49">
        <v>0.38205128205128203</v>
      </c>
      <c r="AS65" s="49">
        <v>0.31538461538461499</v>
      </c>
      <c r="AT65" s="49">
        <v>0.29743589743589699</v>
      </c>
      <c r="AU65" s="49">
        <v>0.264102564102564</v>
      </c>
      <c r="AV65" s="49">
        <v>0.52124542124542095</v>
      </c>
      <c r="AW65" s="49">
        <v>0.626556776556777</v>
      </c>
      <c r="AX65" s="49">
        <v>0.53797313797313795</v>
      </c>
      <c r="AY65" s="49">
        <v>0.56538461538461504</v>
      </c>
      <c r="AZ65" s="49">
        <v>2.2321428571428599</v>
      </c>
      <c r="BA65" s="49">
        <v>2.5</v>
      </c>
      <c r="BB65" s="49">
        <v>2.4696969696969702</v>
      </c>
      <c r="BC65" s="49">
        <v>2.25454545454545</v>
      </c>
      <c r="BD65" s="49">
        <v>1.84615384615385</v>
      </c>
      <c r="BE65" s="49">
        <v>1.62121212121212</v>
      </c>
      <c r="BF65" s="49">
        <v>1.6818181818181801</v>
      </c>
      <c r="BG65" s="49">
        <v>1.5090909090909099</v>
      </c>
      <c r="BH65" s="49">
        <v>48.376615998818203</v>
      </c>
      <c r="BI65" s="49">
        <v>25.5764089503494</v>
      </c>
      <c r="BJ65" s="49">
        <v>7.7127944424045101</v>
      </c>
      <c r="BK65" s="49">
        <v>3.0523908616998701</v>
      </c>
      <c r="BL65" s="49">
        <v>213.972804278447</v>
      </c>
      <c r="BM65" s="49">
        <v>105.097164901651</v>
      </c>
      <c r="BN65" s="49">
        <v>57.2613744157536</v>
      </c>
      <c r="BO65" s="49">
        <v>17.774323392758198</v>
      </c>
      <c r="BP65" s="49">
        <v>7.2902208407319904</v>
      </c>
      <c r="BQ65" s="49">
        <v>434.388979987884</v>
      </c>
      <c r="BR65" s="49">
        <v>0.22608768512406299</v>
      </c>
      <c r="BS65" s="49">
        <v>0.119531120025264</v>
      </c>
      <c r="BT65" s="49">
        <v>3.6045676311124597E-2</v>
      </c>
      <c r="BU65" s="49">
        <v>1.42653215766978E-2</v>
      </c>
      <c r="BV65" s="49">
        <v>0.24194252097413299</v>
      </c>
      <c r="BW65" s="49">
        <v>0.131820504326216</v>
      </c>
      <c r="BX65" s="49">
        <v>4.0917988741919702E-2</v>
      </c>
      <c r="BY65" s="49">
        <v>1.6782702086354299E-2</v>
      </c>
    </row>
    <row r="66" spans="1:77">
      <c r="A66" s="80">
        <v>64</v>
      </c>
      <c r="B66" s="49" t="s">
        <v>646</v>
      </c>
      <c r="C66" s="9">
        <v>1</v>
      </c>
      <c r="D66" s="49" t="s">
        <v>748</v>
      </c>
      <c r="E66" s="30" t="s">
        <v>749</v>
      </c>
      <c r="F66" s="30">
        <v>67142117</v>
      </c>
      <c r="G66" s="75">
        <v>34</v>
      </c>
      <c r="H66" s="49">
        <v>36</v>
      </c>
      <c r="I66" s="77">
        <v>0</v>
      </c>
      <c r="J66" s="30">
        <v>2970</v>
      </c>
      <c r="K66" s="77">
        <v>0</v>
      </c>
      <c r="L66" s="49">
        <v>0.26236106235471002</v>
      </c>
      <c r="M66" s="49">
        <v>0.172664778269948</v>
      </c>
      <c r="N66" s="49">
        <v>0.17676988498531301</v>
      </c>
      <c r="O66" s="49">
        <v>0.175347913510982</v>
      </c>
      <c r="P66" s="49">
        <v>0.38615989914503102</v>
      </c>
      <c r="Q66" s="49">
        <v>0.34977925060083698</v>
      </c>
      <c r="R66" s="49">
        <v>0.373681311054129</v>
      </c>
      <c r="S66" s="49">
        <v>0.36001598066923302</v>
      </c>
      <c r="T66" s="49">
        <v>0.44270114291034901</v>
      </c>
      <c r="U66" s="49">
        <v>0.44259949890551797</v>
      </c>
      <c r="V66" s="49">
        <v>0.42794697317524799</v>
      </c>
      <c r="W66" s="49">
        <v>0.51827212448767401</v>
      </c>
      <c r="X66" s="49">
        <v>0.56491315277239995</v>
      </c>
      <c r="Y66" s="49">
        <v>0.52384104983638302</v>
      </c>
      <c r="Z66" s="49">
        <v>0.56924831047963798</v>
      </c>
      <c r="AA66" s="49">
        <v>0.54806861521243599</v>
      </c>
      <c r="AB66" s="49">
        <v>0.51666666666666705</v>
      </c>
      <c r="AC66" s="49">
        <v>0.87301587301587302</v>
      </c>
      <c r="AD66" s="49">
        <v>0.84057971014492805</v>
      </c>
      <c r="AE66" s="49">
        <v>0.84057971014492805</v>
      </c>
      <c r="AF66" s="49">
        <v>0.77083333333333304</v>
      </c>
      <c r="AG66" s="49">
        <v>0.75892857142857095</v>
      </c>
      <c r="AH66" s="49">
        <v>0.66452991452991395</v>
      </c>
      <c r="AI66" s="49">
        <v>0.66987179487179505</v>
      </c>
      <c r="AJ66" s="49">
        <v>0.59558415936224696</v>
      </c>
      <c r="AK66" s="49">
        <v>0.62251158566524001</v>
      </c>
      <c r="AL66" s="49">
        <v>0.61986672061375403</v>
      </c>
      <c r="AM66" s="49">
        <v>0.73301028338380003</v>
      </c>
      <c r="AN66" s="49">
        <v>0.80003149566827703</v>
      </c>
      <c r="AO66" s="49">
        <v>0.80696325483046105</v>
      </c>
      <c r="AP66" s="49">
        <v>0.93966062992530497</v>
      </c>
      <c r="AQ66" s="49">
        <v>0.93260379305201302</v>
      </c>
      <c r="AR66" s="49">
        <v>0.52564102564102599</v>
      </c>
      <c r="AS66" s="49">
        <v>0.55128205128205099</v>
      </c>
      <c r="AT66" s="49">
        <v>0.53846153846153799</v>
      </c>
      <c r="AU66" s="49">
        <v>0.69230769230769196</v>
      </c>
      <c r="AV66" s="49">
        <v>0.73901098901098905</v>
      </c>
      <c r="AW66" s="49">
        <v>0.664468864468864</v>
      </c>
      <c r="AX66" s="49">
        <v>0.83632478632478702</v>
      </c>
      <c r="AY66" s="49">
        <v>0.88376068376068395</v>
      </c>
      <c r="AZ66" s="49">
        <v>2.8571428571428599</v>
      </c>
      <c r="BA66" s="49">
        <v>1.28571428571429</v>
      </c>
      <c r="BB66" s="49">
        <v>1.34782608695652</v>
      </c>
      <c r="BC66" s="49">
        <v>1.34782608695652</v>
      </c>
      <c r="BD66" s="49">
        <v>1.4821428571428601</v>
      </c>
      <c r="BE66" s="49">
        <v>1.5535714285714299</v>
      </c>
      <c r="BF66" s="49">
        <v>1.8076923076923099</v>
      </c>
      <c r="BG66" s="49">
        <v>1.7820512820512799</v>
      </c>
      <c r="BH66" s="49">
        <v>52.747438893803</v>
      </c>
      <c r="BI66" s="49">
        <v>29.8792180604622</v>
      </c>
      <c r="BJ66" s="49">
        <v>27.3683984340291</v>
      </c>
      <c r="BK66" s="49">
        <v>9.6876661626835201</v>
      </c>
      <c r="BL66" s="49">
        <v>419.60372162630102</v>
      </c>
      <c r="BM66" s="49">
        <v>63.215162339838201</v>
      </c>
      <c r="BN66" s="49">
        <v>19.557408588585101</v>
      </c>
      <c r="BO66" s="49">
        <v>20.604805317749602</v>
      </c>
      <c r="BP66" s="49">
        <v>10.303389166269101</v>
      </c>
      <c r="BQ66" s="49">
        <v>271.05716591354502</v>
      </c>
      <c r="BR66" s="49">
        <v>0.12570774798985199</v>
      </c>
      <c r="BS66" s="49">
        <v>7.1208181721211197E-2</v>
      </c>
      <c r="BT66" s="49">
        <v>6.5224393930431696E-2</v>
      </c>
      <c r="BU66" s="49">
        <v>2.3087655479165099E-2</v>
      </c>
      <c r="BV66" s="49">
        <v>0.233217085874797</v>
      </c>
      <c r="BW66" s="49">
        <v>7.2152339240582994E-2</v>
      </c>
      <c r="BX66" s="49">
        <v>7.6016456706854404E-2</v>
      </c>
      <c r="BY66" s="49">
        <v>3.8011867834386599E-2</v>
      </c>
    </row>
    <row r="67" spans="1:77">
      <c r="A67" s="80">
        <v>65</v>
      </c>
      <c r="B67" s="49" t="s">
        <v>646</v>
      </c>
      <c r="C67" s="9">
        <v>1</v>
      </c>
      <c r="D67" s="49" t="s">
        <v>750</v>
      </c>
      <c r="E67" s="30" t="s">
        <v>751</v>
      </c>
      <c r="F67" s="30">
        <v>67097306</v>
      </c>
      <c r="G67" s="75">
        <v>32.142857142857146</v>
      </c>
      <c r="H67" s="49">
        <v>36.285714285714278</v>
      </c>
      <c r="I67" s="77">
        <v>0</v>
      </c>
      <c r="J67" s="30">
        <v>3984</v>
      </c>
      <c r="K67" s="77">
        <v>0</v>
      </c>
      <c r="L67" s="49">
        <v>0.260477384353415</v>
      </c>
      <c r="M67" s="49">
        <v>0.24629706468700999</v>
      </c>
      <c r="N67" s="49">
        <v>0.25285784020747099</v>
      </c>
      <c r="O67" s="49">
        <v>0.22854022383286901</v>
      </c>
      <c r="P67" s="49">
        <v>0.43878262111265598</v>
      </c>
      <c r="Q67" s="49">
        <v>0.42596496585371402</v>
      </c>
      <c r="R67" s="49">
        <v>0.40345821540430798</v>
      </c>
      <c r="S67" s="49">
        <v>0.439265270418917</v>
      </c>
      <c r="T67" s="49">
        <v>0.39131307610917299</v>
      </c>
      <c r="U67" s="49">
        <v>0.40191515298636699</v>
      </c>
      <c r="V67" s="49">
        <v>0.31679381415823799</v>
      </c>
      <c r="W67" s="49">
        <v>0.36184921180574797</v>
      </c>
      <c r="X67" s="49">
        <v>0.52315823882101697</v>
      </c>
      <c r="Y67" s="49">
        <v>0.53495278427597703</v>
      </c>
      <c r="Z67" s="49">
        <v>0.55640447607846699</v>
      </c>
      <c r="AA67" s="49">
        <v>0.44956302657527197</v>
      </c>
      <c r="AB67" s="49">
        <v>0.58188405797101495</v>
      </c>
      <c r="AC67" s="49">
        <v>0.59021739130434803</v>
      </c>
      <c r="AD67" s="49">
        <v>0.58645833333333297</v>
      </c>
      <c r="AE67" s="49">
        <v>0.65170940170940195</v>
      </c>
      <c r="AF67" s="49">
        <v>0.66025641025641002</v>
      </c>
      <c r="AG67" s="49">
        <v>0.67521367521367504</v>
      </c>
      <c r="AH67" s="49">
        <v>0.72727272727272696</v>
      </c>
      <c r="AI67" s="49">
        <v>0.683760683760684</v>
      </c>
      <c r="AJ67" s="49">
        <v>0.50595131744652699</v>
      </c>
      <c r="AK67" s="49">
        <v>0.55275184342417305</v>
      </c>
      <c r="AL67" s="49">
        <v>0.43512617542498899</v>
      </c>
      <c r="AM67" s="49">
        <v>0.493534617062931</v>
      </c>
      <c r="AN67" s="49">
        <v>0.76819105670226195</v>
      </c>
      <c r="AO67" s="49">
        <v>0.84441337270883998</v>
      </c>
      <c r="AP67" s="49">
        <v>0.86111192927851499</v>
      </c>
      <c r="AQ67" s="49">
        <v>0.70087619697862202</v>
      </c>
      <c r="AR67" s="49">
        <v>0.38461538461538503</v>
      </c>
      <c r="AS67" s="49">
        <v>0.47948717948718</v>
      </c>
      <c r="AT67" s="49">
        <v>0.40256410256410302</v>
      </c>
      <c r="AU67" s="49">
        <v>0.42307692307692302</v>
      </c>
      <c r="AV67" s="49">
        <v>0.61978021978022002</v>
      </c>
      <c r="AW67" s="49">
        <v>0.59505494505494505</v>
      </c>
      <c r="AX67" s="49">
        <v>0.64902319902319905</v>
      </c>
      <c r="AY67" s="49">
        <v>0.58998778998779</v>
      </c>
      <c r="AZ67" s="49">
        <v>2.3695652173913002</v>
      </c>
      <c r="BA67" s="49">
        <v>2.2826086956521698</v>
      </c>
      <c r="BB67" s="49">
        <v>2.2708333333333299</v>
      </c>
      <c r="BC67" s="49">
        <v>1.94871794871795</v>
      </c>
      <c r="BD67" s="49">
        <v>1.84615384615385</v>
      </c>
      <c r="BE67" s="49">
        <v>1.7435897435897401</v>
      </c>
      <c r="BF67" s="49">
        <v>1.5757575757575799</v>
      </c>
      <c r="BG67" s="49">
        <v>1.6923076923076901</v>
      </c>
      <c r="BH67" s="49">
        <v>52.471105137708598</v>
      </c>
      <c r="BI67" s="49">
        <v>9.1831164598586597</v>
      </c>
      <c r="BJ67" s="49">
        <v>3.5673392751814799</v>
      </c>
      <c r="BK67" s="49">
        <v>2.2604202906708601</v>
      </c>
      <c r="BL67" s="49">
        <v>281.31950436790697</v>
      </c>
      <c r="BM67" s="49">
        <v>54.272641726852598</v>
      </c>
      <c r="BN67" s="49">
        <v>15.1094745921502</v>
      </c>
      <c r="BO67" s="49">
        <v>5.2565264186154197</v>
      </c>
      <c r="BP67" s="49">
        <v>4.1036895492110199</v>
      </c>
      <c r="BQ67" s="49">
        <v>321.27914799018998</v>
      </c>
      <c r="BR67" s="49">
        <v>0.18651783585217499</v>
      </c>
      <c r="BS67" s="49">
        <v>3.2643013787799997E-2</v>
      </c>
      <c r="BT67" s="49">
        <v>1.2680739229926101E-2</v>
      </c>
      <c r="BU67" s="49">
        <v>8.0350642439448606E-3</v>
      </c>
      <c r="BV67" s="49">
        <v>0.168926748176355</v>
      </c>
      <c r="BW67" s="49">
        <v>4.7029116849536597E-2</v>
      </c>
      <c r="BX67" s="49">
        <v>1.6361243645902399E-2</v>
      </c>
      <c r="BY67" s="49">
        <v>1.27729719618664E-2</v>
      </c>
    </row>
    <row r="68" spans="1:77">
      <c r="A68" s="80">
        <v>66</v>
      </c>
      <c r="B68" s="49" t="s">
        <v>646</v>
      </c>
      <c r="C68" s="9">
        <v>1</v>
      </c>
      <c r="D68" s="49" t="s">
        <v>755</v>
      </c>
      <c r="E68" s="30" t="s">
        <v>218</v>
      </c>
      <c r="F68" s="30">
        <v>67058857</v>
      </c>
      <c r="G68" s="75">
        <v>33.428571428571431</v>
      </c>
      <c r="H68" s="49">
        <v>37.428571428571431</v>
      </c>
      <c r="I68" s="77">
        <v>0</v>
      </c>
      <c r="J68" s="30">
        <v>5896</v>
      </c>
      <c r="K68" s="77">
        <v>0</v>
      </c>
      <c r="L68" s="49">
        <v>0.28891472317463901</v>
      </c>
      <c r="M68" s="49">
        <v>0.26080088194471701</v>
      </c>
      <c r="N68" s="49">
        <v>0.26348400960621499</v>
      </c>
      <c r="O68" s="49">
        <v>0.25861507008772699</v>
      </c>
      <c r="P68" s="49">
        <v>0.40024152415880998</v>
      </c>
      <c r="Q68" s="49">
        <v>0.38369721381795902</v>
      </c>
      <c r="R68" s="49">
        <v>0.36446026261653702</v>
      </c>
      <c r="S68" s="49">
        <v>0.37803017449524401</v>
      </c>
      <c r="T68" s="49">
        <v>0.321013141708962</v>
      </c>
      <c r="U68" s="49">
        <v>0.27954429043108803</v>
      </c>
      <c r="V68" s="49">
        <v>0.30497314660982899</v>
      </c>
      <c r="W68" s="49">
        <v>0.29848016888488299</v>
      </c>
      <c r="X68" s="49">
        <v>0.57693045566988399</v>
      </c>
      <c r="Y68" s="49">
        <v>0.55995849560168998</v>
      </c>
      <c r="Z68" s="49">
        <v>0.53583143936583899</v>
      </c>
      <c r="AA68" s="49">
        <v>0.54628531952107295</v>
      </c>
      <c r="AB68" s="49">
        <v>0.49848484848484897</v>
      </c>
      <c r="AC68" s="49">
        <v>0.54484848484848503</v>
      </c>
      <c r="AD68" s="49">
        <v>0.55121212121212104</v>
      </c>
      <c r="AE68" s="49">
        <v>0.55121212121212104</v>
      </c>
      <c r="AF68" s="49">
        <v>0.78181818181818197</v>
      </c>
      <c r="AG68" s="49">
        <v>0.78181818181818197</v>
      </c>
      <c r="AH68" s="49">
        <v>0.78181818181818197</v>
      </c>
      <c r="AI68" s="49">
        <v>0.71085858585858597</v>
      </c>
      <c r="AJ68" s="49">
        <v>0.43813848851200499</v>
      </c>
      <c r="AK68" s="49">
        <v>0.386856437229954</v>
      </c>
      <c r="AL68" s="49">
        <v>0.42531797569149199</v>
      </c>
      <c r="AM68" s="49">
        <v>0.42531797569149199</v>
      </c>
      <c r="AN68" s="49">
        <v>0.79714230293150501</v>
      </c>
      <c r="AO68" s="49">
        <v>0.80792509481520702</v>
      </c>
      <c r="AP68" s="49">
        <v>0.81428718368428399</v>
      </c>
      <c r="AQ68" s="49">
        <v>0.88260815189229003</v>
      </c>
      <c r="AR68" s="49">
        <v>0.39743589743589702</v>
      </c>
      <c r="AS68" s="49">
        <v>0.34615384615384598</v>
      </c>
      <c r="AT68" s="49">
        <v>0.38461538461538503</v>
      </c>
      <c r="AU68" s="49">
        <v>0.38461538461538503</v>
      </c>
      <c r="AV68" s="49">
        <v>0.61190476190476195</v>
      </c>
      <c r="AW68" s="49">
        <v>0.66666666666666696</v>
      </c>
      <c r="AX68" s="49">
        <v>0.7</v>
      </c>
      <c r="AY68" s="49">
        <v>0.73522588522588495</v>
      </c>
      <c r="AZ68" s="49">
        <v>2.7727272727272698</v>
      </c>
      <c r="BA68" s="49">
        <v>2.4909090909090899</v>
      </c>
      <c r="BB68" s="49">
        <v>2.4</v>
      </c>
      <c r="BC68" s="49">
        <v>2.4</v>
      </c>
      <c r="BD68" s="49">
        <v>1.4363636363636401</v>
      </c>
      <c r="BE68" s="49">
        <v>1.4363636363636401</v>
      </c>
      <c r="BF68" s="49">
        <v>1.4363636363636401</v>
      </c>
      <c r="BG68" s="49">
        <v>1.6818181818181801</v>
      </c>
      <c r="BH68" s="49">
        <v>36.896112587445501</v>
      </c>
      <c r="BI68" s="49">
        <v>12.950745156455</v>
      </c>
      <c r="BJ68" s="49">
        <v>5.2030807201905196</v>
      </c>
      <c r="BK68" s="49">
        <v>2.0999138716814998</v>
      </c>
      <c r="BL68" s="49">
        <v>173.44741753155901</v>
      </c>
      <c r="BM68" s="49">
        <v>46.0113295474018</v>
      </c>
      <c r="BN68" s="49">
        <v>25.283169040786401</v>
      </c>
      <c r="BO68" s="49">
        <v>8.5308824356161992</v>
      </c>
      <c r="BP68" s="49">
        <v>4.0212039512519002</v>
      </c>
      <c r="BQ68" s="49">
        <v>183.96532289879499</v>
      </c>
      <c r="BR68" s="49">
        <v>0.212722178932022</v>
      </c>
      <c r="BS68" s="49">
        <v>7.46666934611383E-2</v>
      </c>
      <c r="BT68" s="49">
        <v>2.9998029340758601E-2</v>
      </c>
      <c r="BU68" s="49">
        <v>1.21069192125586E-2</v>
      </c>
      <c r="BV68" s="49">
        <v>0.25010870974153099</v>
      </c>
      <c r="BW68" s="49">
        <v>0.13743442863248501</v>
      </c>
      <c r="BX68" s="49">
        <v>4.6372230924788399E-2</v>
      </c>
      <c r="BY68" s="49">
        <v>2.1858488805871799E-2</v>
      </c>
    </row>
    <row r="69" spans="1:77">
      <c r="A69" s="80">
        <v>67</v>
      </c>
      <c r="B69" s="49" t="s">
        <v>646</v>
      </c>
      <c r="C69" s="9">
        <v>1</v>
      </c>
      <c r="D69" s="49" t="s">
        <v>756</v>
      </c>
      <c r="E69" s="30" t="s">
        <v>215</v>
      </c>
      <c r="F69" s="30">
        <v>66989888</v>
      </c>
      <c r="G69" s="75">
        <v>28.285714285714285</v>
      </c>
      <c r="H69" s="49">
        <v>36.571428571428569</v>
      </c>
      <c r="I69" s="77">
        <v>0</v>
      </c>
      <c r="J69" s="30">
        <v>10776</v>
      </c>
      <c r="K69" s="77">
        <v>0</v>
      </c>
      <c r="L69" s="49">
        <v>0.32944597844401902</v>
      </c>
      <c r="M69" s="49">
        <v>0.31618296922266897</v>
      </c>
      <c r="N69" s="49">
        <v>0.22896851143831501</v>
      </c>
      <c r="O69" s="49">
        <v>0.23004103269878901</v>
      </c>
      <c r="P69" s="49">
        <v>0.43814697093031002</v>
      </c>
      <c r="Q69" s="49">
        <v>0.41637783714370202</v>
      </c>
      <c r="R69" s="49">
        <v>0.39267311146294598</v>
      </c>
      <c r="S69" s="49">
        <v>0.38856239104819001</v>
      </c>
      <c r="T69" s="49">
        <v>0.30245471259998502</v>
      </c>
      <c r="U69" s="49">
        <v>0.26713595231107101</v>
      </c>
      <c r="V69" s="49">
        <v>0.43736682805008298</v>
      </c>
      <c r="W69" s="49">
        <v>0.378796116247961</v>
      </c>
      <c r="X69" s="49">
        <v>0.56451603293841102</v>
      </c>
      <c r="Y69" s="49">
        <v>0.39716735600754099</v>
      </c>
      <c r="Z69" s="49">
        <v>0.49701111306436202</v>
      </c>
      <c r="AA69" s="49">
        <v>0.434514347811296</v>
      </c>
      <c r="AB69" s="49">
        <v>0.52752525252525295</v>
      </c>
      <c r="AC69" s="49">
        <v>0.52853535353535397</v>
      </c>
      <c r="AD69" s="49">
        <v>0.68918918918918903</v>
      </c>
      <c r="AE69" s="49">
        <v>0.68421052631579005</v>
      </c>
      <c r="AF69" s="49">
        <v>0.72727272727272696</v>
      </c>
      <c r="AG69" s="49">
        <v>0.67521367521367504</v>
      </c>
      <c r="AH69" s="49">
        <v>0.66559829059829101</v>
      </c>
      <c r="AI69" s="49">
        <v>0.67200854700854695</v>
      </c>
      <c r="AJ69" s="49">
        <v>0.40622571996219897</v>
      </c>
      <c r="AK69" s="49">
        <v>0.37163334682010501</v>
      </c>
      <c r="AL69" s="49">
        <v>0.62186432591670604</v>
      </c>
      <c r="AM69" s="49">
        <v>0.53036541833231399</v>
      </c>
      <c r="AN69" s="49">
        <v>0.796951179614109</v>
      </c>
      <c r="AO69" s="49">
        <v>0.656385457221902</v>
      </c>
      <c r="AP69" s="49">
        <v>0.83898731438985996</v>
      </c>
      <c r="AQ69" s="49">
        <v>0.75449226284273896</v>
      </c>
      <c r="AR69" s="49">
        <v>0.30769230769230799</v>
      </c>
      <c r="AS69" s="49">
        <v>0.35128205128205098</v>
      </c>
      <c r="AT69" s="49">
        <v>0.53589743589743599</v>
      </c>
      <c r="AU69" s="49">
        <v>0.47948717948718</v>
      </c>
      <c r="AV69" s="49">
        <v>0.66984126984127002</v>
      </c>
      <c r="AW69" s="49">
        <v>0.48992673992674002</v>
      </c>
      <c r="AX69" s="49">
        <v>0.67521367521367504</v>
      </c>
      <c r="AY69" s="49">
        <v>0.61660561660561697</v>
      </c>
      <c r="AZ69" s="49">
        <v>2.4393939393939399</v>
      </c>
      <c r="BA69" s="49">
        <v>2.4545454545454501</v>
      </c>
      <c r="BB69" s="49">
        <v>1.72972972972973</v>
      </c>
      <c r="BC69" s="49">
        <v>1.73684210526316</v>
      </c>
      <c r="BD69" s="49">
        <v>1.5757575757575799</v>
      </c>
      <c r="BE69" s="49">
        <v>1.7435897435897401</v>
      </c>
      <c r="BF69" s="49">
        <v>1.8333333333333299</v>
      </c>
      <c r="BG69" s="49">
        <v>1.7820512820512799</v>
      </c>
      <c r="BH69" s="49">
        <v>53.207320322145101</v>
      </c>
      <c r="BI69" s="49">
        <v>16.2483737203322</v>
      </c>
      <c r="BJ69" s="49">
        <v>5.4897564312501004</v>
      </c>
      <c r="BK69" s="49">
        <v>2.6268074535560899</v>
      </c>
      <c r="BL69" s="49">
        <v>242.054288390875</v>
      </c>
      <c r="BM69" s="49">
        <v>66.374039421417393</v>
      </c>
      <c r="BN69" s="49">
        <v>22.504420234094699</v>
      </c>
      <c r="BO69" s="49">
        <v>8.1257142846021608</v>
      </c>
      <c r="BP69" s="49">
        <v>3.79775282588249</v>
      </c>
      <c r="BQ69" s="49">
        <v>260.55482637252499</v>
      </c>
      <c r="BR69" s="49">
        <v>0.21981564828227601</v>
      </c>
      <c r="BS69" s="49">
        <v>6.7126981423662996E-2</v>
      </c>
      <c r="BT69" s="49">
        <v>2.2679856108911801E-2</v>
      </c>
      <c r="BU69" s="49">
        <v>1.08521417695945E-2</v>
      </c>
      <c r="BV69" s="49">
        <v>0.25474116271605801</v>
      </c>
      <c r="BW69" s="49">
        <v>8.6371150929744303E-2</v>
      </c>
      <c r="BX69" s="49">
        <v>3.1186197537498399E-2</v>
      </c>
      <c r="BY69" s="49">
        <v>1.4575637990496101E-2</v>
      </c>
    </row>
    <row r="70" spans="1:77">
      <c r="A70" s="80">
        <v>68</v>
      </c>
      <c r="B70" s="49" t="s">
        <v>646</v>
      </c>
      <c r="C70" s="9">
        <v>1</v>
      </c>
      <c r="D70" s="49" t="s">
        <v>757</v>
      </c>
      <c r="E70" s="30" t="s">
        <v>758</v>
      </c>
      <c r="F70" s="30">
        <v>67099787</v>
      </c>
      <c r="G70" s="75">
        <v>33.285714285714285</v>
      </c>
      <c r="H70" s="80">
        <v>36</v>
      </c>
      <c r="I70" s="77">
        <v>0</v>
      </c>
      <c r="J70" s="30">
        <v>4764</v>
      </c>
      <c r="K70" s="77">
        <v>0</v>
      </c>
      <c r="L70" s="49">
        <v>0.331604183069376</v>
      </c>
      <c r="M70" s="49">
        <v>0.31872568201081802</v>
      </c>
      <c r="N70" s="49">
        <v>0.31519875830863697</v>
      </c>
      <c r="O70" s="49">
        <v>0.31532946571040099</v>
      </c>
      <c r="P70" s="49">
        <v>0.32786757202008998</v>
      </c>
      <c r="Q70" s="49">
        <v>0.37881529469478897</v>
      </c>
      <c r="R70" s="49">
        <v>0.33358608956799102</v>
      </c>
      <c r="S70" s="49">
        <v>0.33329760020355698</v>
      </c>
      <c r="T70" s="49">
        <v>0.52842260925747797</v>
      </c>
      <c r="U70" s="49">
        <v>0.37365855975401002</v>
      </c>
      <c r="V70" s="49">
        <v>0.334664791462218</v>
      </c>
      <c r="W70" s="49">
        <v>0.29567252650681702</v>
      </c>
      <c r="X70" s="49">
        <v>0.48151956604950102</v>
      </c>
      <c r="Y70" s="49">
        <v>0.42132976933083299</v>
      </c>
      <c r="Z70" s="49">
        <v>0.49687817102408499</v>
      </c>
      <c r="AA70" s="49">
        <v>0.49830242180765899</v>
      </c>
      <c r="AB70" s="49">
        <v>0.56969696969697003</v>
      </c>
      <c r="AC70" s="49">
        <v>0.574242424242424</v>
      </c>
      <c r="AD70" s="49">
        <v>0.56181818181818199</v>
      </c>
      <c r="AE70" s="49">
        <v>0.57575757575757602</v>
      </c>
      <c r="AF70" s="49">
        <v>0.83695652173913104</v>
      </c>
      <c r="AG70" s="49">
        <v>0.69318181818181801</v>
      </c>
      <c r="AH70" s="49">
        <v>0.83695652173913104</v>
      </c>
      <c r="AI70" s="49">
        <v>0.83333333333333304</v>
      </c>
      <c r="AJ70" s="49">
        <v>0.64063245311098105</v>
      </c>
      <c r="AK70" s="49">
        <v>0.48006055058347402</v>
      </c>
      <c r="AL70" s="49">
        <v>0.42387005005475797</v>
      </c>
      <c r="AM70" s="49">
        <v>0.379164129537646</v>
      </c>
      <c r="AN70" s="49">
        <v>0.72600539509134798</v>
      </c>
      <c r="AO70" s="49">
        <v>0.63000871352798604</v>
      </c>
      <c r="AP70" s="49">
        <v>0.73506217953925601</v>
      </c>
      <c r="AQ70" s="49">
        <v>0.73914370443717103</v>
      </c>
      <c r="AR70" s="49">
        <v>0.52820512820512799</v>
      </c>
      <c r="AS70" s="49">
        <v>0.42307692307692302</v>
      </c>
      <c r="AT70" s="49">
        <v>0.36410256410256397</v>
      </c>
      <c r="AU70" s="49">
        <v>0.33846153846153898</v>
      </c>
      <c r="AV70" s="49">
        <v>0.56611721611721599</v>
      </c>
      <c r="AW70" s="49">
        <v>0.515384615384615</v>
      </c>
      <c r="AX70" s="49">
        <v>0.60805860805860801</v>
      </c>
      <c r="AY70" s="49">
        <v>0.62472527472527495</v>
      </c>
      <c r="AZ70" s="49">
        <v>2.21818181818182</v>
      </c>
      <c r="BA70" s="49">
        <v>2.21818181818182</v>
      </c>
      <c r="BB70" s="49">
        <v>2.3272727272727298</v>
      </c>
      <c r="BC70" s="49">
        <v>2.1818181818181799</v>
      </c>
      <c r="BD70" s="49">
        <v>1.3260869565217399</v>
      </c>
      <c r="BE70" s="49">
        <v>1.8181818181818199</v>
      </c>
      <c r="BF70" s="49">
        <v>1.3260869565217399</v>
      </c>
      <c r="BG70" s="49">
        <v>1.34782608695652</v>
      </c>
      <c r="BH70" s="49">
        <v>43.797618460723797</v>
      </c>
      <c r="BI70" s="49">
        <v>10.3614014300605</v>
      </c>
      <c r="BJ70" s="49">
        <v>4.54364583933015</v>
      </c>
      <c r="BK70" s="49">
        <v>2.3751963507857701</v>
      </c>
      <c r="BL70" s="49">
        <v>205.662257555823</v>
      </c>
      <c r="BM70" s="49">
        <v>58.378349757645097</v>
      </c>
      <c r="BN70" s="49">
        <v>12.1688601535385</v>
      </c>
      <c r="BO70" s="49">
        <v>4.9415178796770602</v>
      </c>
      <c r="BP70" s="49">
        <v>2.5542670703936499</v>
      </c>
      <c r="BQ70" s="49">
        <v>217.62989954724301</v>
      </c>
      <c r="BR70" s="49">
        <v>0.21295895017993599</v>
      </c>
      <c r="BS70" s="49">
        <v>5.0380665627226699E-2</v>
      </c>
      <c r="BT70" s="49">
        <v>2.20927548560866E-2</v>
      </c>
      <c r="BU70" s="49">
        <v>1.1549014286887699E-2</v>
      </c>
      <c r="BV70" s="49">
        <v>0.26824599873039101</v>
      </c>
      <c r="BW70" s="49">
        <v>5.5915387448390703E-2</v>
      </c>
      <c r="BX70" s="49">
        <v>2.2706061483083802E-2</v>
      </c>
      <c r="BY70" s="49">
        <v>1.17367469989534E-2</v>
      </c>
    </row>
    <row r="71" spans="1:77">
      <c r="A71" s="80">
        <v>69</v>
      </c>
      <c r="B71" s="49" t="s">
        <v>644</v>
      </c>
      <c r="C71" s="9">
        <v>2</v>
      </c>
      <c r="D71" s="49" t="s">
        <v>766</v>
      </c>
      <c r="E71" s="30" t="s">
        <v>767</v>
      </c>
      <c r="F71" s="30">
        <v>67102263</v>
      </c>
      <c r="G71" s="75">
        <v>29.571428571428573</v>
      </c>
      <c r="H71" s="80">
        <v>35.571428571428569</v>
      </c>
      <c r="I71" s="77">
        <v>6.2251655629139071</v>
      </c>
      <c r="J71" s="30">
        <v>9060</v>
      </c>
      <c r="K71" s="77">
        <v>6.2251655629139071</v>
      </c>
      <c r="L71" s="49">
        <v>0.298164794209412</v>
      </c>
      <c r="M71" s="49">
        <v>0.217775901427324</v>
      </c>
      <c r="N71" s="49">
        <v>0.21934212167765599</v>
      </c>
      <c r="O71" s="49">
        <v>0.26638195961970101</v>
      </c>
      <c r="P71" s="49">
        <v>0.417299844472941</v>
      </c>
      <c r="Q71" s="49">
        <v>0.368576238527967</v>
      </c>
      <c r="R71" s="49">
        <v>0.36293606861616901</v>
      </c>
      <c r="S71" s="49">
        <v>0.35844650163212999</v>
      </c>
      <c r="T71" s="49">
        <v>0.45817470243792402</v>
      </c>
      <c r="U71" s="49">
        <v>0.42608802108467497</v>
      </c>
      <c r="V71" s="49">
        <v>0.34511719834538601</v>
      </c>
      <c r="W71" s="49">
        <v>0.279851172855269</v>
      </c>
      <c r="X71" s="49">
        <v>0.52939542445405796</v>
      </c>
      <c r="Y71" s="49">
        <v>0.54860180044380902</v>
      </c>
      <c r="Z71" s="49">
        <v>0.54357019044150401</v>
      </c>
      <c r="AA71" s="49">
        <v>0.53550488750170699</v>
      </c>
      <c r="AB71" s="49">
        <v>0.55575757575757601</v>
      </c>
      <c r="AC71" s="49">
        <v>0.66441441441441496</v>
      </c>
      <c r="AD71" s="49">
        <v>0.65170940170940195</v>
      </c>
      <c r="AE71" s="49">
        <v>0.50216450216450204</v>
      </c>
      <c r="AF71" s="49">
        <v>0.63055555555555498</v>
      </c>
      <c r="AG71" s="49">
        <v>0.64358974358974297</v>
      </c>
      <c r="AH71" s="49">
        <v>0.64572649572649599</v>
      </c>
      <c r="AI71" s="49">
        <v>0.64572649572649599</v>
      </c>
      <c r="AJ71" s="49">
        <v>0.58693719971733704</v>
      </c>
      <c r="AK71" s="49">
        <v>0.61713239431505196</v>
      </c>
      <c r="AL71" s="49">
        <v>0.49814826192634898</v>
      </c>
      <c r="AM71" s="49">
        <v>0.40745002023015803</v>
      </c>
      <c r="AN71" s="49">
        <v>0.76850362181208198</v>
      </c>
      <c r="AO71" s="49">
        <v>0.93459852330110105</v>
      </c>
      <c r="AP71" s="49">
        <v>0.94117671302968398</v>
      </c>
      <c r="AQ71" s="49">
        <v>0.93781279488717795</v>
      </c>
      <c r="AR71" s="49">
        <v>0.55641025641025599</v>
      </c>
      <c r="AS71" s="49">
        <v>0.517948717948718</v>
      </c>
      <c r="AT71" s="49">
        <v>0.42820512820512802</v>
      </c>
      <c r="AU71" s="49">
        <v>0.37692307692307703</v>
      </c>
      <c r="AV71" s="49">
        <v>0.62307692307692297</v>
      </c>
      <c r="AW71" s="49">
        <v>0.70952380952381</v>
      </c>
      <c r="AX71" s="49">
        <v>0.73553113553113603</v>
      </c>
      <c r="AY71" s="49">
        <v>0.72527472527472503</v>
      </c>
      <c r="AZ71" s="49">
        <v>2.3636363636363602</v>
      </c>
      <c r="BA71" s="49">
        <v>1.91891891891892</v>
      </c>
      <c r="BB71" s="49">
        <v>1.94871794871795</v>
      </c>
      <c r="BC71" s="49">
        <v>2.7727272727272698</v>
      </c>
      <c r="BD71" s="49">
        <v>2.12820512820513</v>
      </c>
      <c r="BE71" s="49">
        <v>1.9871794871794899</v>
      </c>
      <c r="BF71" s="49">
        <v>1.97435897435897</v>
      </c>
      <c r="BG71" s="49">
        <v>1.97435897435897</v>
      </c>
      <c r="BH71" s="49">
        <v>16.877568922867098</v>
      </c>
      <c r="BI71" s="49">
        <v>3.1860168878600201</v>
      </c>
      <c r="BJ71" s="49">
        <v>1.4819488059169501</v>
      </c>
      <c r="BK71" s="49">
        <v>0.81848017274573504</v>
      </c>
      <c r="BL71" s="49">
        <v>88.598186488495003</v>
      </c>
      <c r="BM71" s="49">
        <v>28.049466448214201</v>
      </c>
      <c r="BN71" s="49">
        <v>5.2935432445035904</v>
      </c>
      <c r="BO71" s="49">
        <v>2.3917618801025999</v>
      </c>
      <c r="BP71" s="49">
        <v>1.5902383554178301</v>
      </c>
      <c r="BQ71" s="49">
        <v>140.361560721084</v>
      </c>
      <c r="BR71" s="49">
        <v>0.19049564773042801</v>
      </c>
      <c r="BS71" s="49">
        <v>3.5960294607991099E-2</v>
      </c>
      <c r="BT71" s="49">
        <v>1.6726626860577899E-2</v>
      </c>
      <c r="BU71" s="49">
        <v>9.2381142908835798E-3</v>
      </c>
      <c r="BV71" s="49">
        <v>0.199837236805538</v>
      </c>
      <c r="BW71" s="49">
        <v>3.7713624850770303E-2</v>
      </c>
      <c r="BX71" s="49">
        <v>1.7040006308104001E-2</v>
      </c>
      <c r="BY71" s="49">
        <v>1.1329585872715001E-2</v>
      </c>
    </row>
    <row r="72" spans="1:77">
      <c r="A72" s="80">
        <v>70</v>
      </c>
      <c r="B72" s="49" t="s">
        <v>646</v>
      </c>
      <c r="C72" s="9">
        <v>1</v>
      </c>
      <c r="D72" s="49" t="s">
        <v>770</v>
      </c>
      <c r="E72" s="30" t="s">
        <v>771</v>
      </c>
      <c r="F72" s="30">
        <v>67162824</v>
      </c>
      <c r="G72" s="75">
        <v>31.714285714285715</v>
      </c>
      <c r="H72" s="49">
        <v>38.714285714285722</v>
      </c>
      <c r="I72" s="77">
        <v>0</v>
      </c>
      <c r="J72" s="30">
        <v>6848</v>
      </c>
      <c r="K72" s="77">
        <v>0</v>
      </c>
      <c r="L72" s="49">
        <v>0.26080612746376802</v>
      </c>
      <c r="M72" s="49">
        <v>0.198997385292565</v>
      </c>
      <c r="N72" s="49">
        <v>0.21495978075337099</v>
      </c>
      <c r="O72" s="49">
        <v>0.16755395542200899</v>
      </c>
      <c r="P72" s="49">
        <v>0.36656338678045702</v>
      </c>
      <c r="Q72" s="49">
        <v>0.343899779806773</v>
      </c>
      <c r="R72" s="49">
        <v>0.32002572731114098</v>
      </c>
      <c r="S72" s="49">
        <v>0.30371759038771301</v>
      </c>
      <c r="T72" s="49">
        <v>0.26348602972381702</v>
      </c>
      <c r="U72" s="49">
        <v>0.327316999465045</v>
      </c>
      <c r="V72" s="49">
        <v>0.292019722851594</v>
      </c>
      <c r="W72" s="49">
        <v>0.29234787857885702</v>
      </c>
      <c r="X72" s="49">
        <v>0.49458380463871898</v>
      </c>
      <c r="Y72" s="49">
        <v>0.45479442783343699</v>
      </c>
      <c r="Z72" s="49">
        <v>0.46896141401263403</v>
      </c>
      <c r="AA72" s="49">
        <v>0.40276965574725598</v>
      </c>
      <c r="AB72" s="49">
        <v>0.56787878787878798</v>
      </c>
      <c r="AC72" s="49">
        <v>0.69444444444444398</v>
      </c>
      <c r="AD72" s="49">
        <v>0.62222222222222201</v>
      </c>
      <c r="AE72" s="49">
        <v>0.75862068965517204</v>
      </c>
      <c r="AF72" s="49">
        <v>0.75757575757575801</v>
      </c>
      <c r="AG72" s="49">
        <v>0.77272727272727304</v>
      </c>
      <c r="AH72" s="49">
        <v>0.77878787878787903</v>
      </c>
      <c r="AI72" s="49">
        <v>0.77272727272727304</v>
      </c>
      <c r="AJ72" s="49">
        <v>0.38437309715323498</v>
      </c>
      <c r="AK72" s="49">
        <v>0.515796461506143</v>
      </c>
      <c r="AL72" s="49">
        <v>0.47961234006056003</v>
      </c>
      <c r="AM72" s="49">
        <v>0.47832651932332598</v>
      </c>
      <c r="AN72" s="49">
        <v>0.70872233719631705</v>
      </c>
      <c r="AO72" s="49">
        <v>0.71268485409895499</v>
      </c>
      <c r="AP72" s="49">
        <v>0.79874231323897205</v>
      </c>
      <c r="AQ72" s="49">
        <v>0.71740267999606899</v>
      </c>
      <c r="AR72" s="49">
        <v>0.35384615384615398</v>
      </c>
      <c r="AS72" s="49">
        <v>0.43846153846153801</v>
      </c>
      <c r="AT72" s="49">
        <v>0.43076923076923102</v>
      </c>
      <c r="AU72" s="49">
        <v>0.39743589743589702</v>
      </c>
      <c r="AV72" s="49">
        <v>0.633699633699634</v>
      </c>
      <c r="AW72" s="49">
        <v>0.58369963369963396</v>
      </c>
      <c r="AX72" s="49">
        <v>0.62301587301587302</v>
      </c>
      <c r="AY72" s="49">
        <v>0.60567765567765597</v>
      </c>
      <c r="AZ72" s="49">
        <v>2.2727272727272698</v>
      </c>
      <c r="BA72" s="49">
        <v>1.7222222222222201</v>
      </c>
      <c r="BB72" s="49">
        <v>2.0222222222222199</v>
      </c>
      <c r="BC72" s="49">
        <v>1.55172413793103</v>
      </c>
      <c r="BD72" s="49">
        <v>1.58181818181818</v>
      </c>
      <c r="BE72" s="49">
        <v>1.4909090909090901</v>
      </c>
      <c r="BF72" s="49">
        <v>1.4545454545454499</v>
      </c>
      <c r="BG72" s="49">
        <v>1.4909090909090901</v>
      </c>
      <c r="BH72" s="49">
        <v>49.848268481634101</v>
      </c>
      <c r="BI72" s="49">
        <v>15.9404726560788</v>
      </c>
      <c r="BJ72" s="49">
        <v>6.5225055624683002</v>
      </c>
      <c r="BK72" s="49">
        <v>1.92726015944042</v>
      </c>
      <c r="BL72" s="49">
        <v>201.335107298472</v>
      </c>
      <c r="BM72" s="49">
        <v>53.100236013590496</v>
      </c>
      <c r="BN72" s="49">
        <v>13.783327376622401</v>
      </c>
      <c r="BO72" s="49">
        <v>5.0851614130320897</v>
      </c>
      <c r="BP72" s="49">
        <v>2.09498339611822</v>
      </c>
      <c r="BQ72" s="49">
        <v>206.47655663930399</v>
      </c>
      <c r="BR72" s="49">
        <v>0.24758855596771701</v>
      </c>
      <c r="BS72" s="49">
        <v>7.9173835452589797E-2</v>
      </c>
      <c r="BT72" s="49">
        <v>3.23962653607099E-2</v>
      </c>
      <c r="BU72" s="49">
        <v>9.5723998924009193E-3</v>
      </c>
      <c r="BV72" s="49">
        <v>0.25717319621109302</v>
      </c>
      <c r="BW72" s="49">
        <v>6.6754926568737105E-2</v>
      </c>
      <c r="BX72" s="49">
        <v>2.4628274976105001E-2</v>
      </c>
      <c r="BY72" s="49">
        <v>1.01463499305539E-2</v>
      </c>
    </row>
    <row r="73" spans="1:77">
      <c r="A73" s="80">
        <v>71</v>
      </c>
      <c r="B73" s="49" t="s">
        <v>646</v>
      </c>
      <c r="C73" s="9">
        <v>1</v>
      </c>
      <c r="D73" s="49" t="s">
        <v>772</v>
      </c>
      <c r="E73" s="30" t="s">
        <v>4</v>
      </c>
      <c r="F73" s="30">
        <v>67206571</v>
      </c>
      <c r="G73" s="75">
        <v>32.571428571428569</v>
      </c>
      <c r="H73" s="49">
        <v>36</v>
      </c>
      <c r="I73" s="77">
        <v>0</v>
      </c>
      <c r="J73" s="30">
        <v>4984</v>
      </c>
      <c r="K73" s="77">
        <v>0</v>
      </c>
      <c r="L73" s="49">
        <v>0.23803015476108999</v>
      </c>
      <c r="M73" s="49">
        <v>0.222265446088033</v>
      </c>
      <c r="N73" s="49">
        <v>0.22227640842416599</v>
      </c>
      <c r="O73" s="49">
        <v>0.24369363067651001</v>
      </c>
      <c r="P73" s="49">
        <v>0.43752089834990798</v>
      </c>
      <c r="Q73" s="49">
        <v>0.41421530457427203</v>
      </c>
      <c r="R73" s="49">
        <v>0.40757896771415603</v>
      </c>
      <c r="S73" s="49">
        <v>0.39907638191320199</v>
      </c>
      <c r="T73" s="49">
        <v>0.316018293808142</v>
      </c>
      <c r="U73" s="49">
        <v>0.320082937396727</v>
      </c>
      <c r="V73" s="49">
        <v>0.32056641704882499</v>
      </c>
      <c r="W73" s="49">
        <v>0.28825020812333202</v>
      </c>
      <c r="X73" s="49">
        <v>0.54363142874058501</v>
      </c>
      <c r="Y73" s="49">
        <v>0.483032958304972</v>
      </c>
      <c r="Z73" s="49">
        <v>0.478179154251823</v>
      </c>
      <c r="AA73" s="49">
        <v>0.43984973829187601</v>
      </c>
      <c r="AB73" s="49">
        <v>0.68468468468468502</v>
      </c>
      <c r="AC73" s="49">
        <v>0.69907407407407396</v>
      </c>
      <c r="AD73" s="49">
        <v>0.70370370370370405</v>
      </c>
      <c r="AE73" s="49">
        <v>0.64814814814814803</v>
      </c>
      <c r="AF73" s="49">
        <v>0.67521367521367504</v>
      </c>
      <c r="AG73" s="49">
        <v>0.66025641025641002</v>
      </c>
      <c r="AH73" s="49">
        <v>0.66025641025641002</v>
      </c>
      <c r="AI73" s="49">
        <v>0.67200854700854695</v>
      </c>
      <c r="AJ73" s="49">
        <v>0.42671271933190902</v>
      </c>
      <c r="AK73" s="49">
        <v>0.45640271749989098</v>
      </c>
      <c r="AL73" s="49">
        <v>0.46035975559991499</v>
      </c>
      <c r="AM73" s="49">
        <v>0.431273601070919</v>
      </c>
      <c r="AN73" s="49">
        <v>0.84469189666817501</v>
      </c>
      <c r="AO73" s="49">
        <v>0.77449212414647495</v>
      </c>
      <c r="AP73" s="49">
        <v>0.77462262605457</v>
      </c>
      <c r="AQ73" s="49">
        <v>0.73609438738469901</v>
      </c>
      <c r="AR73" s="49">
        <v>0.30769230769230799</v>
      </c>
      <c r="AS73" s="49">
        <v>0.39230769230769202</v>
      </c>
      <c r="AT73" s="49">
        <v>0.39597069597069601</v>
      </c>
      <c r="AU73" s="49">
        <v>0.37692307692307703</v>
      </c>
      <c r="AV73" s="49">
        <v>0.69682539682539701</v>
      </c>
      <c r="AW73" s="49">
        <v>0.59822954822954799</v>
      </c>
      <c r="AX73" s="49">
        <v>0.59273504273504296</v>
      </c>
      <c r="AY73" s="49">
        <v>0.55372405372405398</v>
      </c>
      <c r="AZ73" s="49">
        <v>1.7567567567567599</v>
      </c>
      <c r="BA73" s="49">
        <v>1.69444444444444</v>
      </c>
      <c r="BB73" s="49">
        <v>1.6666666666666701</v>
      </c>
      <c r="BC73" s="49">
        <v>1.82222222222222</v>
      </c>
      <c r="BD73" s="49">
        <v>1.7435897435897401</v>
      </c>
      <c r="BE73" s="49">
        <v>1.8589743589743599</v>
      </c>
      <c r="BF73" s="49">
        <v>1.8589743589743599</v>
      </c>
      <c r="BG73" s="49">
        <v>1.7692307692307701</v>
      </c>
      <c r="BH73" s="49">
        <v>39.138357001326497</v>
      </c>
      <c r="BI73" s="49">
        <v>10.2015239190833</v>
      </c>
      <c r="BJ73" s="49">
        <v>4.2373008729131696</v>
      </c>
      <c r="BK73" s="49">
        <v>2.1073969719910099</v>
      </c>
      <c r="BL73" s="49">
        <v>228.74611458835901</v>
      </c>
      <c r="BM73" s="49">
        <v>40.0193634970368</v>
      </c>
      <c r="BN73" s="49">
        <v>10.482559629162401</v>
      </c>
      <c r="BO73" s="49">
        <v>4.6030200114950697</v>
      </c>
      <c r="BP73" s="49">
        <v>2.88923883789333</v>
      </c>
      <c r="BQ73" s="49">
        <v>165.51142656694199</v>
      </c>
      <c r="BR73" s="49">
        <v>0.171099548824067</v>
      </c>
      <c r="BS73" s="49">
        <v>4.4597583383837902E-2</v>
      </c>
      <c r="BT73" s="49">
        <v>1.8524034301253298E-2</v>
      </c>
      <c r="BU73" s="49">
        <v>9.2128208419338196E-3</v>
      </c>
      <c r="BV73" s="49">
        <v>0.24179214889946399</v>
      </c>
      <c r="BW73" s="49">
        <v>6.3334356102131006E-2</v>
      </c>
      <c r="BX73" s="49">
        <v>2.78108895982076E-2</v>
      </c>
      <c r="BY73" s="49">
        <v>1.7456431243584002E-2</v>
      </c>
    </row>
    <row r="74" spans="1:77">
      <c r="A74" s="80">
        <v>72</v>
      </c>
      <c r="B74" s="49" t="s">
        <v>639</v>
      </c>
      <c r="C74" s="49">
        <v>3</v>
      </c>
      <c r="D74" s="80" t="s">
        <v>668</v>
      </c>
      <c r="E74" s="72" t="s">
        <v>669</v>
      </c>
      <c r="F74" s="72">
        <v>67248928</v>
      </c>
      <c r="G74" s="74">
        <v>28.285714285714285</v>
      </c>
      <c r="H74" s="49">
        <v>40.714285714285715</v>
      </c>
      <c r="I74" s="74">
        <v>92.286792452830198</v>
      </c>
      <c r="J74" s="72">
        <v>13250</v>
      </c>
      <c r="K74" s="74">
        <v>92.286792452830198</v>
      </c>
      <c r="L74" s="80">
        <v>0.27204148587441501</v>
      </c>
      <c r="M74" s="80">
        <v>0.25619901878072998</v>
      </c>
      <c r="N74" s="80">
        <v>0.24790233163223999</v>
      </c>
      <c r="O74" s="80">
        <v>0.234472142413781</v>
      </c>
      <c r="P74" s="80">
        <v>0.26779672223512702</v>
      </c>
      <c r="Q74" s="80">
        <v>0.25621588113906402</v>
      </c>
      <c r="R74" s="80">
        <v>0.21859126333851001</v>
      </c>
      <c r="S74" s="80">
        <v>0.228940327004168</v>
      </c>
      <c r="T74" s="80">
        <v>0.190655341846825</v>
      </c>
      <c r="U74" s="80">
        <v>0.26687396332371999</v>
      </c>
      <c r="V74" s="80">
        <v>0.212006350824335</v>
      </c>
      <c r="W74" s="80">
        <v>0.20186398946765099</v>
      </c>
      <c r="X74" s="80">
        <v>0.21405926030754599</v>
      </c>
      <c r="Y74" s="80">
        <v>0.193398056003973</v>
      </c>
      <c r="Z74" s="80">
        <v>0.229934280457495</v>
      </c>
      <c r="AA74" s="80">
        <v>0.15395666301485</v>
      </c>
      <c r="AB74" s="80">
        <v>0.41346153846153899</v>
      </c>
      <c r="AC74" s="80">
        <v>0.43131868131868201</v>
      </c>
      <c r="AD74" s="80">
        <v>0.45020350020349997</v>
      </c>
      <c r="AE74" s="80">
        <v>0.45020350020349997</v>
      </c>
      <c r="AF74" s="80">
        <v>0.44081196581196602</v>
      </c>
      <c r="AG74" s="80">
        <v>0.44592999592999599</v>
      </c>
      <c r="AH74" s="80">
        <v>0.38772893772893802</v>
      </c>
      <c r="AI74" s="80">
        <v>0.42972629222629299</v>
      </c>
      <c r="AJ74" s="80">
        <v>0.28252077915485002</v>
      </c>
      <c r="AK74" s="80">
        <v>0.44217555398060898</v>
      </c>
      <c r="AL74" s="80">
        <v>0.37364594479330099</v>
      </c>
      <c r="AM74" s="80">
        <v>0.37364594479330099</v>
      </c>
      <c r="AN74" s="80">
        <v>0.35722591496870099</v>
      </c>
      <c r="AO74" s="80">
        <v>0.32564102564102598</v>
      </c>
      <c r="AP74" s="80">
        <v>0.39984098071239099</v>
      </c>
      <c r="AQ74" s="80">
        <v>0.28429233466585102</v>
      </c>
      <c r="AR74" s="80">
        <v>0.21538461538461501</v>
      </c>
      <c r="AS74" s="80">
        <v>0.36153846153846197</v>
      </c>
      <c r="AT74" s="80">
        <v>0.31794871794871798</v>
      </c>
      <c r="AU74" s="80">
        <v>0.31794871794871798</v>
      </c>
      <c r="AV74" s="80">
        <v>0.33076923076923098</v>
      </c>
      <c r="AW74" s="80">
        <v>0.32564102564102598</v>
      </c>
      <c r="AX74" s="80">
        <v>0.28717948717948699</v>
      </c>
      <c r="AY74" s="80">
        <v>0.243589743589744</v>
      </c>
      <c r="AZ74" s="80">
        <v>2.0909090909090899</v>
      </c>
      <c r="BA74" s="80">
        <v>2.6969696969696999</v>
      </c>
      <c r="BB74" s="80">
        <v>3.3589743589743599</v>
      </c>
      <c r="BC74" s="80">
        <v>3.3589743589743599</v>
      </c>
      <c r="BD74" s="80">
        <v>2.5303030303030298</v>
      </c>
      <c r="BE74" s="80">
        <v>3.4102564102564101</v>
      </c>
      <c r="BF74" s="80">
        <v>2.58928571428571</v>
      </c>
      <c r="BG74" s="80">
        <v>3.6923076923076898</v>
      </c>
      <c r="BH74" s="80">
        <v>84.727113027458003</v>
      </c>
      <c r="BI74" s="80">
        <v>24.517378164617899</v>
      </c>
      <c r="BJ74" s="80">
        <v>5.2258165108820203</v>
      </c>
      <c r="BK74" s="80">
        <v>2.2574301465128501</v>
      </c>
      <c r="BL74" s="80">
        <v>299.422017811221</v>
      </c>
      <c r="BM74" s="80">
        <v>84.242616939346306</v>
      </c>
      <c r="BN74" s="80">
        <v>29.110361489233401</v>
      </c>
      <c r="BO74" s="80">
        <v>7.0027156762871998</v>
      </c>
      <c r="BP74" s="80">
        <v>2.5090671181148099</v>
      </c>
      <c r="BQ74" s="80">
        <v>297.967969505398</v>
      </c>
      <c r="BR74" s="80">
        <v>0.282968880000256</v>
      </c>
      <c r="BS74" s="80">
        <v>8.18823490130762E-2</v>
      </c>
      <c r="BT74" s="80">
        <v>1.7453013472699199E-2</v>
      </c>
      <c r="BU74" s="80">
        <v>7.53929241080766E-3</v>
      </c>
      <c r="BV74" s="80">
        <v>0.28272373396100903</v>
      </c>
      <c r="BW74" s="80">
        <v>9.7696277682309804E-2</v>
      </c>
      <c r="BX74" s="80">
        <v>2.3501571957251399E-2</v>
      </c>
      <c r="BY74" s="80">
        <v>8.4205934023031202E-3</v>
      </c>
    </row>
    <row r="75" spans="1:77">
      <c r="A75" s="80">
        <v>73</v>
      </c>
      <c r="B75" s="49" t="s">
        <v>646</v>
      </c>
      <c r="C75" s="49">
        <v>1</v>
      </c>
      <c r="D75" s="80" t="s">
        <v>676</v>
      </c>
      <c r="E75" s="72" t="s">
        <v>677</v>
      </c>
      <c r="F75" s="72">
        <v>67251424</v>
      </c>
      <c r="G75" s="74">
        <v>34</v>
      </c>
      <c r="H75" s="49">
        <v>38</v>
      </c>
      <c r="I75" s="74">
        <v>0</v>
      </c>
      <c r="J75" s="72">
        <v>5112</v>
      </c>
      <c r="K75" s="74">
        <v>0</v>
      </c>
      <c r="L75" s="80">
        <v>0.25966611546347401</v>
      </c>
      <c r="M75" s="80">
        <v>0.232303384430741</v>
      </c>
      <c r="N75" s="80">
        <v>0.21796910743540601</v>
      </c>
      <c r="O75" s="80">
        <v>0.206259835126265</v>
      </c>
      <c r="P75" s="80">
        <v>0.200711610461902</v>
      </c>
      <c r="Q75" s="80">
        <v>0.201194893484411</v>
      </c>
      <c r="R75" s="80">
        <v>0.17231784830215</v>
      </c>
      <c r="S75" s="80">
        <v>0.19856961680812599</v>
      </c>
      <c r="T75" s="80">
        <v>0.30110983708094302</v>
      </c>
      <c r="U75" s="80">
        <v>0.322680875874159</v>
      </c>
      <c r="V75" s="80">
        <v>0.30146943848276903</v>
      </c>
      <c r="W75" s="80">
        <v>0.28549534792855502</v>
      </c>
      <c r="X75" s="80">
        <v>0.26228234479151602</v>
      </c>
      <c r="Y75" s="80">
        <v>0.43260185464439699</v>
      </c>
      <c r="Z75" s="80">
        <v>0.41033656617405601</v>
      </c>
      <c r="AA75" s="80">
        <v>0.29607987623651</v>
      </c>
      <c r="AB75" s="80">
        <v>0.39871794871794902</v>
      </c>
      <c r="AC75" s="80">
        <v>0.41327838827838898</v>
      </c>
      <c r="AD75" s="80">
        <v>0.41541514041514099</v>
      </c>
      <c r="AE75" s="80">
        <v>0.41541514041514099</v>
      </c>
      <c r="AF75" s="80">
        <v>0.28846153846153799</v>
      </c>
      <c r="AG75" s="80">
        <v>0.31709401709401702</v>
      </c>
      <c r="AH75" s="80">
        <v>0.28739316239316198</v>
      </c>
      <c r="AI75" s="80">
        <v>0.35064102564102601</v>
      </c>
      <c r="AJ75" s="80">
        <v>0.45681340377195201</v>
      </c>
      <c r="AK75" s="80">
        <v>0.55840902156267602</v>
      </c>
      <c r="AL75" s="80">
        <v>0.55840902156267602</v>
      </c>
      <c r="AM75" s="80">
        <v>0.55840902156267602</v>
      </c>
      <c r="AN75" s="80">
        <v>0.36815716546471</v>
      </c>
      <c r="AO75" s="80">
        <v>0.67970627029349895</v>
      </c>
      <c r="AP75" s="80">
        <v>0.68731152158801201</v>
      </c>
      <c r="AQ75" s="80">
        <v>0.51746664871157499</v>
      </c>
      <c r="AR75" s="80">
        <v>0.38205128205128203</v>
      </c>
      <c r="AS75" s="80">
        <v>0.487179487179487</v>
      </c>
      <c r="AT75" s="80">
        <v>0.487179487179487</v>
      </c>
      <c r="AU75" s="80">
        <v>0.487179487179487</v>
      </c>
      <c r="AV75" s="80">
        <v>0.269230769230769</v>
      </c>
      <c r="AW75" s="80">
        <v>0.55128205128205099</v>
      </c>
      <c r="AX75" s="80">
        <v>0.57692307692307698</v>
      </c>
      <c r="AY75" s="80">
        <v>0.36410256410256397</v>
      </c>
      <c r="AZ75" s="80">
        <v>2.375</v>
      </c>
      <c r="BA75" s="80">
        <v>2.9696969696969702</v>
      </c>
      <c r="BB75" s="80">
        <v>2.9242424242424199</v>
      </c>
      <c r="BC75" s="80">
        <v>2.9242424242424199</v>
      </c>
      <c r="BD75" s="80">
        <v>1.44827586206897</v>
      </c>
      <c r="BE75" s="80">
        <v>2.12820512820513</v>
      </c>
      <c r="BF75" s="80">
        <v>1.7096774193548401</v>
      </c>
      <c r="BG75" s="80">
        <v>2.2608695652173898</v>
      </c>
      <c r="BH75" s="80">
        <v>47.293193694614999</v>
      </c>
      <c r="BI75" s="80">
        <v>13.4280187355438</v>
      </c>
      <c r="BJ75" s="80">
        <v>5.2678291131109196</v>
      </c>
      <c r="BK75" s="80">
        <v>2.8263256755256898</v>
      </c>
      <c r="BL75" s="80">
        <v>224.238750787257</v>
      </c>
      <c r="BM75" s="80">
        <v>47.220777996547099</v>
      </c>
      <c r="BN75" s="80">
        <v>11.7960917476776</v>
      </c>
      <c r="BO75" s="80">
        <v>4.7115644615211698</v>
      </c>
      <c r="BP75" s="80">
        <v>2.8201752413529602</v>
      </c>
      <c r="BQ75" s="80">
        <v>231.541944184355</v>
      </c>
      <c r="BR75" s="80">
        <v>0.210905534964756</v>
      </c>
      <c r="BS75" s="80">
        <v>5.9882686147691801E-2</v>
      </c>
      <c r="BT75" s="80">
        <v>2.3492055207302999E-2</v>
      </c>
      <c r="BU75" s="80">
        <v>1.2604091244724801E-2</v>
      </c>
      <c r="BV75" s="80">
        <v>0.203940491917739</v>
      </c>
      <c r="BW75" s="80">
        <v>5.0945809361804102E-2</v>
      </c>
      <c r="BX75" s="80">
        <v>2.03486434309708E-2</v>
      </c>
      <c r="BY75" s="80">
        <v>1.2179975646691101E-2</v>
      </c>
    </row>
    <row r="76" spans="1:77">
      <c r="A76" s="80">
        <v>74</v>
      </c>
      <c r="B76" s="49" t="s">
        <v>644</v>
      </c>
      <c r="C76" s="49">
        <v>2</v>
      </c>
      <c r="D76" s="80" t="s">
        <v>705</v>
      </c>
      <c r="E76" s="72" t="s">
        <v>706</v>
      </c>
      <c r="F76" s="72">
        <v>67223771</v>
      </c>
      <c r="G76" s="74">
        <v>30.714285714285715</v>
      </c>
      <c r="H76" s="49">
        <v>40.857142857142861</v>
      </c>
      <c r="I76" s="74">
        <v>10.0684261974585</v>
      </c>
      <c r="J76" s="72">
        <v>12276</v>
      </c>
      <c r="K76" s="74">
        <v>10.0684261974585</v>
      </c>
      <c r="L76" s="80">
        <v>0.30936488844617499</v>
      </c>
      <c r="M76" s="80">
        <v>0.27359330251904201</v>
      </c>
      <c r="N76" s="80">
        <v>0.27336027864676599</v>
      </c>
      <c r="O76" s="80">
        <v>0.24395153159025401</v>
      </c>
      <c r="P76" s="80">
        <v>0.27948058128306702</v>
      </c>
      <c r="Q76" s="80">
        <v>0.28143751710167503</v>
      </c>
      <c r="R76" s="80">
        <v>0.172968659663366</v>
      </c>
      <c r="S76" s="80">
        <v>0.16203167746095301</v>
      </c>
      <c r="T76" s="80">
        <v>0.30542616285183499</v>
      </c>
      <c r="U76" s="80">
        <v>0.42263062231865201</v>
      </c>
      <c r="V76" s="80">
        <v>0.27376947289026299</v>
      </c>
      <c r="W76" s="80">
        <v>0.30206965958592502</v>
      </c>
      <c r="X76" s="80">
        <v>0.24139262860412</v>
      </c>
      <c r="Y76" s="80">
        <v>0.203954457687406</v>
      </c>
      <c r="Z76" s="80">
        <v>0.32146889416953101</v>
      </c>
      <c r="AA76" s="80">
        <v>0.34696381710138902</v>
      </c>
      <c r="AB76" s="80">
        <v>0.454059829059829</v>
      </c>
      <c r="AC76" s="80">
        <v>0.41239316239316298</v>
      </c>
      <c r="AD76" s="80">
        <v>0.44465811965812002</v>
      </c>
      <c r="AE76" s="80">
        <v>0.41935286935286997</v>
      </c>
      <c r="AF76" s="80">
        <v>0.36111111111111099</v>
      </c>
      <c r="AG76" s="80">
        <v>0.44572649572649597</v>
      </c>
      <c r="AH76" s="80">
        <v>0.29700854700854701</v>
      </c>
      <c r="AI76" s="80">
        <v>0.29487179487179499</v>
      </c>
      <c r="AJ76" s="80">
        <v>0.419741560040373</v>
      </c>
      <c r="AK76" s="80">
        <v>0.62822641478578301</v>
      </c>
      <c r="AL76" s="80">
        <v>0.45183289079773598</v>
      </c>
      <c r="AM76" s="80">
        <v>0.50049260860891098</v>
      </c>
      <c r="AN76" s="80">
        <v>0.31402865668225399</v>
      </c>
      <c r="AO76" s="80">
        <v>0.3</v>
      </c>
      <c r="AP76" s="80">
        <v>0.55177465989096197</v>
      </c>
      <c r="AQ76" s="80">
        <v>0.62645668419946998</v>
      </c>
      <c r="AR76" s="80">
        <v>0.38717948717948703</v>
      </c>
      <c r="AS76" s="80">
        <v>0.56923076923076898</v>
      </c>
      <c r="AT76" s="80">
        <v>0.36153846153846197</v>
      </c>
      <c r="AU76" s="80">
        <v>0.43333333333333302</v>
      </c>
      <c r="AV76" s="80">
        <v>0.21025641025641001</v>
      </c>
      <c r="AW76" s="80">
        <v>0.3</v>
      </c>
      <c r="AX76" s="80">
        <v>0.484615384615385</v>
      </c>
      <c r="AY76" s="80">
        <v>0.6</v>
      </c>
      <c r="AZ76" s="80">
        <v>2.3333333333333299</v>
      </c>
      <c r="BA76" s="80">
        <v>2.1090909090909098</v>
      </c>
      <c r="BB76" s="80">
        <v>2.4545454545454501</v>
      </c>
      <c r="BC76" s="80">
        <v>2.8787878787878798</v>
      </c>
      <c r="BD76" s="80">
        <v>2</v>
      </c>
      <c r="BE76" s="80">
        <v>2.4545454545454501</v>
      </c>
      <c r="BF76" s="80">
        <v>1.54838709677419</v>
      </c>
      <c r="BG76" s="80">
        <v>1.5806451612903201</v>
      </c>
      <c r="BH76" s="80">
        <v>81.757783074760695</v>
      </c>
      <c r="BI76" s="80">
        <v>17.974092640134401</v>
      </c>
      <c r="BJ76" s="80">
        <v>4.9780470750494299</v>
      </c>
      <c r="BK76" s="80">
        <v>2.0030389505716601</v>
      </c>
      <c r="BL76" s="80">
        <v>371.982786438826</v>
      </c>
      <c r="BM76" s="80">
        <v>73.252780303342007</v>
      </c>
      <c r="BN76" s="80">
        <v>12.226593969911001</v>
      </c>
      <c r="BO76" s="80">
        <v>3.5524975079022698</v>
      </c>
      <c r="BP76" s="80">
        <v>1.62958028444783</v>
      </c>
      <c r="BQ76" s="80">
        <v>255.715527955113</v>
      </c>
      <c r="BR76" s="80">
        <v>0.219789157066831</v>
      </c>
      <c r="BS76" s="80">
        <v>4.8319689231346601E-2</v>
      </c>
      <c r="BT76" s="80">
        <v>1.3382466222984999E-2</v>
      </c>
      <c r="BU76" s="80">
        <v>5.3847624771773397E-3</v>
      </c>
      <c r="BV76" s="80">
        <v>0.28646199505022002</v>
      </c>
      <c r="BW76" s="80">
        <v>4.7813263698469097E-2</v>
      </c>
      <c r="BX76" s="80">
        <v>1.3892380866780501E-2</v>
      </c>
      <c r="BY76" s="80">
        <v>6.3726293724872098E-3</v>
      </c>
    </row>
    <row r="77" spans="1:77">
      <c r="A77" s="80">
        <v>75</v>
      </c>
      <c r="B77" s="49" t="s">
        <v>646</v>
      </c>
      <c r="C77" s="1">
        <v>1</v>
      </c>
      <c r="D77" s="80" t="s">
        <v>709</v>
      </c>
      <c r="E77" s="72" t="s">
        <v>512</v>
      </c>
      <c r="F77" s="72">
        <v>601633</v>
      </c>
      <c r="G77" s="74">
        <v>33.714285714285715</v>
      </c>
      <c r="H77" s="1">
        <v>35.571428571428569</v>
      </c>
      <c r="I77" s="74">
        <v>0</v>
      </c>
      <c r="J77" s="72">
        <v>1800</v>
      </c>
      <c r="K77" s="74">
        <v>0</v>
      </c>
      <c r="L77" s="80">
        <v>0.30926594721886402</v>
      </c>
      <c r="M77" s="80">
        <v>0.28714646105401198</v>
      </c>
      <c r="N77" s="80">
        <v>0.19741638573451301</v>
      </c>
      <c r="O77" s="80">
        <v>0.19549230959689901</v>
      </c>
      <c r="P77" s="80">
        <v>0.26010600505370102</v>
      </c>
      <c r="Q77" s="80">
        <v>0.31436967985513797</v>
      </c>
      <c r="R77" s="80">
        <v>0.199291434083779</v>
      </c>
      <c r="S77" s="80">
        <v>0.19725764358561201</v>
      </c>
      <c r="T77" s="80">
        <v>0.30053431212521198</v>
      </c>
      <c r="U77" s="80">
        <v>0.271834783568625</v>
      </c>
      <c r="V77" s="80">
        <v>0.39874875788566999</v>
      </c>
      <c r="W77" s="80">
        <v>0.39675430799446498</v>
      </c>
      <c r="X77" s="80">
        <v>0.29237057880353001</v>
      </c>
      <c r="Y77" s="80">
        <v>0.25701375876336702</v>
      </c>
      <c r="Z77" s="80">
        <v>0.43132177708570901</v>
      </c>
      <c r="AA77" s="80">
        <v>0.33930554546063701</v>
      </c>
      <c r="AB77" s="80">
        <v>0.391666666666667</v>
      </c>
      <c r="AC77" s="80">
        <v>0.391666666666667</v>
      </c>
      <c r="AD77" s="80">
        <v>0.28525641025641002</v>
      </c>
      <c r="AE77" s="80">
        <v>0.28525641025641002</v>
      </c>
      <c r="AF77" s="80">
        <v>0.335470085470085</v>
      </c>
      <c r="AG77" s="80">
        <v>0.42179487179487202</v>
      </c>
      <c r="AH77" s="80">
        <v>0.29059829059829101</v>
      </c>
      <c r="AI77" s="80">
        <v>0.28525641025641002</v>
      </c>
      <c r="AJ77" s="80">
        <v>0.35857054653744203</v>
      </c>
      <c r="AK77" s="80">
        <v>0.35857054653744203</v>
      </c>
      <c r="AL77" s="80">
        <v>0.56968585358882695</v>
      </c>
      <c r="AM77" s="80">
        <v>0.56968585358882695</v>
      </c>
      <c r="AN77" s="80">
        <v>0.35857054653744203</v>
      </c>
      <c r="AO77" s="80">
        <v>0.33211386233797202</v>
      </c>
      <c r="AP77" s="80">
        <v>0.62743386773268095</v>
      </c>
      <c r="AQ77" s="80">
        <v>0.47517463291741902</v>
      </c>
      <c r="AR77" s="80">
        <v>0.30769230769230799</v>
      </c>
      <c r="AS77" s="80">
        <v>0.30769230769230799</v>
      </c>
      <c r="AT77" s="80">
        <v>0.5</v>
      </c>
      <c r="AU77" s="80">
        <v>0.5</v>
      </c>
      <c r="AV77" s="80">
        <v>0.30769230769230799</v>
      </c>
      <c r="AW77" s="80">
        <v>0.30769230769230799</v>
      </c>
      <c r="AX77" s="80">
        <v>0.59487179487179498</v>
      </c>
      <c r="AY77" s="80">
        <v>0.44871794871794901</v>
      </c>
      <c r="AZ77" s="80">
        <v>2.4</v>
      </c>
      <c r="BA77" s="80">
        <v>2.4</v>
      </c>
      <c r="BB77" s="80">
        <v>1.63333333333333</v>
      </c>
      <c r="BC77" s="80">
        <v>1.63333333333333</v>
      </c>
      <c r="BD77" s="80">
        <v>1.7948717948718</v>
      </c>
      <c r="BE77" s="80">
        <v>2.8333333333333299</v>
      </c>
      <c r="BF77" s="80">
        <v>1.5333333333333301</v>
      </c>
      <c r="BG77" s="80">
        <v>1.63333333333333</v>
      </c>
      <c r="BH77" s="80">
        <v>74.763506353239194</v>
      </c>
      <c r="BI77" s="80">
        <v>14.2931339709819</v>
      </c>
      <c r="BJ77" s="80">
        <v>5.0470922092565003</v>
      </c>
      <c r="BK77" s="80">
        <v>3.2660414797739099</v>
      </c>
      <c r="BL77" s="80">
        <v>290.80047525261602</v>
      </c>
      <c r="BM77" s="80">
        <v>72.034546633367199</v>
      </c>
      <c r="BN77" s="80">
        <v>10.824324998399099</v>
      </c>
      <c r="BO77" s="80">
        <v>4.7985595651477597</v>
      </c>
      <c r="BP77" s="80">
        <v>3.7690759283407198</v>
      </c>
      <c r="BQ77" s="80">
        <v>296.71973364527503</v>
      </c>
      <c r="BR77" s="80">
        <v>0.25709554390615402</v>
      </c>
      <c r="BS77" s="80">
        <v>4.9150999352960301E-2</v>
      </c>
      <c r="BT77" s="80">
        <v>1.7355859562719601E-2</v>
      </c>
      <c r="BU77" s="80">
        <v>1.12312109426119E-2</v>
      </c>
      <c r="BV77" s="80">
        <v>0.24276965252160701</v>
      </c>
      <c r="BW77" s="80">
        <v>3.6479963315616502E-2</v>
      </c>
      <c r="BX77" s="80">
        <v>1.6172027071459899E-2</v>
      </c>
      <c r="BY77" s="80">
        <v>1.27024781332764E-2</v>
      </c>
    </row>
    <row r="78" spans="1:77">
      <c r="A78" s="80">
        <v>76</v>
      </c>
      <c r="B78" s="49" t="s">
        <v>646</v>
      </c>
      <c r="C78" s="49">
        <v>1</v>
      </c>
      <c r="D78" s="80" t="s">
        <v>715</v>
      </c>
      <c r="E78" s="72" t="s">
        <v>716</v>
      </c>
      <c r="F78" s="72">
        <v>67236766</v>
      </c>
      <c r="G78" s="74">
        <v>32.428571428571431</v>
      </c>
      <c r="H78" s="49">
        <v>40.571428571428569</v>
      </c>
      <c r="I78" s="74">
        <v>0</v>
      </c>
      <c r="J78" s="72">
        <v>6080</v>
      </c>
      <c r="K78" s="74">
        <v>0</v>
      </c>
      <c r="L78" s="80">
        <v>0.248037550041173</v>
      </c>
      <c r="M78" s="80">
        <v>0.26055645205394601</v>
      </c>
      <c r="N78" s="80">
        <v>0.23479124854113301</v>
      </c>
      <c r="O78" s="80">
        <v>0.22749937148598801</v>
      </c>
      <c r="P78" s="80">
        <v>0.21980261089526401</v>
      </c>
      <c r="Q78" s="80">
        <v>0.19940838323756499</v>
      </c>
      <c r="R78" s="80">
        <v>0.305114871499512</v>
      </c>
      <c r="S78" s="80">
        <v>0.26553295969371199</v>
      </c>
      <c r="T78" s="80">
        <v>0.366622703687013</v>
      </c>
      <c r="U78" s="80">
        <v>0.289790799276964</v>
      </c>
      <c r="V78" s="80">
        <v>0.40810029322685398</v>
      </c>
      <c r="W78" s="80">
        <v>0.39421984391439802</v>
      </c>
      <c r="X78" s="80">
        <v>0.37376251672600502</v>
      </c>
      <c r="Y78" s="80">
        <v>0.32067517195038198</v>
      </c>
      <c r="Z78" s="80">
        <v>0.23190960024982801</v>
      </c>
      <c r="AA78" s="80">
        <v>0.30217262898029201</v>
      </c>
      <c r="AB78" s="80">
        <v>0.31410256410256399</v>
      </c>
      <c r="AC78" s="80">
        <v>0.33888888888888902</v>
      </c>
      <c r="AD78" s="80">
        <v>0.28418803418803401</v>
      </c>
      <c r="AE78" s="80">
        <v>0.27884615384615402</v>
      </c>
      <c r="AF78" s="80">
        <v>0.28205128205128199</v>
      </c>
      <c r="AG78" s="80">
        <v>0.29166666666666702</v>
      </c>
      <c r="AH78" s="80">
        <v>0.45726495726495697</v>
      </c>
      <c r="AI78" s="80">
        <v>0.40149572649572701</v>
      </c>
      <c r="AJ78" s="80">
        <v>0.46158915353487001</v>
      </c>
      <c r="AK78" s="80">
        <v>0.36980414032706399</v>
      </c>
      <c r="AL78" s="80">
        <v>0.48497529374054898</v>
      </c>
      <c r="AM78" s="80">
        <v>0.47542437413944599</v>
      </c>
      <c r="AN78" s="80">
        <v>0.48364507491731801</v>
      </c>
      <c r="AO78" s="80">
        <v>0.47282274732449098</v>
      </c>
      <c r="AP78" s="80">
        <v>0.33301028338380001</v>
      </c>
      <c r="AQ78" s="80">
        <v>0.44317781231772801</v>
      </c>
      <c r="AR78" s="80">
        <v>0.37435897435897397</v>
      </c>
      <c r="AS78" s="80">
        <v>0.31282051282051299</v>
      </c>
      <c r="AT78" s="80">
        <v>0.40256410256410302</v>
      </c>
      <c r="AU78" s="80">
        <v>0.38461538461538503</v>
      </c>
      <c r="AV78" s="80">
        <v>0.42820512820512802</v>
      </c>
      <c r="AW78" s="80">
        <v>0.37948717948718003</v>
      </c>
      <c r="AX78" s="80">
        <v>0.29230769230769199</v>
      </c>
      <c r="AY78" s="80">
        <v>0.36153846153846197</v>
      </c>
      <c r="AZ78" s="80">
        <v>1.9459459459459501</v>
      </c>
      <c r="BA78" s="80">
        <v>2.37777777777778</v>
      </c>
      <c r="BB78" s="80">
        <v>1.5172413793103401</v>
      </c>
      <c r="BC78" s="80">
        <v>1.6206896551724099</v>
      </c>
      <c r="BD78" s="80">
        <v>1.55172413793103</v>
      </c>
      <c r="BE78" s="80">
        <v>1.6451612903225801</v>
      </c>
      <c r="BF78" s="80">
        <v>2.3030303030303001</v>
      </c>
      <c r="BG78" s="80">
        <v>2.2727272727272698</v>
      </c>
      <c r="BH78" s="80">
        <v>74.770714430990694</v>
      </c>
      <c r="BI78" s="80">
        <v>18.4932805384083</v>
      </c>
      <c r="BJ78" s="80">
        <v>7.0780354503666398</v>
      </c>
      <c r="BK78" s="80">
        <v>3.5243577275489102</v>
      </c>
      <c r="BL78" s="80">
        <v>420.17257145057698</v>
      </c>
      <c r="BM78" s="80">
        <v>91.829012601807406</v>
      </c>
      <c r="BN78" s="80">
        <v>17.658031118005301</v>
      </c>
      <c r="BO78" s="80">
        <v>6.4458241189738299</v>
      </c>
      <c r="BP78" s="80">
        <v>3.1925373386134401</v>
      </c>
      <c r="BQ78" s="80">
        <v>461.94832221794297</v>
      </c>
      <c r="BR78" s="80">
        <v>0.177952392686788</v>
      </c>
      <c r="BS78" s="80">
        <v>4.4013535854002299E-2</v>
      </c>
      <c r="BT78" s="80">
        <v>1.6845543786760901E-2</v>
      </c>
      <c r="BU78" s="80">
        <v>8.3878814730377095E-3</v>
      </c>
      <c r="BV78" s="80">
        <v>0.198786332118084</v>
      </c>
      <c r="BW78" s="80">
        <v>3.8225122310703803E-2</v>
      </c>
      <c r="BX78" s="80">
        <v>1.3953561056409099E-2</v>
      </c>
      <c r="BY78" s="80">
        <v>6.91102702415971E-3</v>
      </c>
    </row>
    <row r="79" spans="1:77">
      <c r="A79" s="80">
        <v>77</v>
      </c>
      <c r="B79" s="49" t="s">
        <v>639</v>
      </c>
      <c r="C79" s="49">
        <v>3</v>
      </c>
      <c r="D79" s="80" t="s">
        <v>727</v>
      </c>
      <c r="E79" s="72" t="s">
        <v>728</v>
      </c>
      <c r="F79" s="72">
        <v>67262020</v>
      </c>
      <c r="G79" s="74">
        <v>30.428571428571427</v>
      </c>
      <c r="H79" s="49">
        <v>38.857142857142861</v>
      </c>
      <c r="I79" s="74">
        <v>100</v>
      </c>
      <c r="J79" s="72">
        <v>6656</v>
      </c>
      <c r="K79" s="74">
        <v>100</v>
      </c>
      <c r="L79" s="80">
        <v>0.26390462177317398</v>
      </c>
      <c r="M79" s="80">
        <v>0.21123661205758201</v>
      </c>
      <c r="N79" s="80">
        <v>0.19289234698951699</v>
      </c>
      <c r="O79" s="80">
        <v>0.17858992795737599</v>
      </c>
      <c r="P79" s="80">
        <v>0.26945264871593999</v>
      </c>
      <c r="Q79" s="80">
        <v>0.23701025931949399</v>
      </c>
      <c r="R79" s="80">
        <v>0.245410499858806</v>
      </c>
      <c r="S79" s="80">
        <v>0.24802490528005799</v>
      </c>
      <c r="T79" s="80">
        <v>0.269741710640785</v>
      </c>
      <c r="U79" s="80">
        <v>0.345672586053208</v>
      </c>
      <c r="V79" s="80">
        <v>0.33581447481717802</v>
      </c>
      <c r="W79" s="80">
        <v>0.348322787836359</v>
      </c>
      <c r="X79" s="80">
        <v>0.239286272973042</v>
      </c>
      <c r="Y79" s="80">
        <v>0.26567334014480898</v>
      </c>
      <c r="Z79" s="80">
        <v>0.27415579435468201</v>
      </c>
      <c r="AA79" s="80">
        <v>0.30929010817117603</v>
      </c>
      <c r="AB79" s="80">
        <v>0.389102564102564</v>
      </c>
      <c r="AC79" s="80">
        <v>0.344444444444445</v>
      </c>
      <c r="AD79" s="80">
        <v>0.31303418803418798</v>
      </c>
      <c r="AE79" s="80">
        <v>0.316239316239316</v>
      </c>
      <c r="AF79" s="80">
        <v>0.38760683760683801</v>
      </c>
      <c r="AG79" s="80">
        <v>0.36111111111111099</v>
      </c>
      <c r="AH79" s="80">
        <v>0.39465811965811998</v>
      </c>
      <c r="AI79" s="80">
        <v>0.39123931623931602</v>
      </c>
      <c r="AJ79" s="80">
        <v>0.39243972671621702</v>
      </c>
      <c r="AK79" s="80">
        <v>0.55433876245506497</v>
      </c>
      <c r="AL79" s="80">
        <v>0.52816543670509897</v>
      </c>
      <c r="AM79" s="80">
        <v>0.61430950944460105</v>
      </c>
      <c r="AN79" s="80">
        <v>0.32307692307692298</v>
      </c>
      <c r="AO79" s="80">
        <v>0.38861175507075602</v>
      </c>
      <c r="AP79" s="80">
        <v>0.414128200063135</v>
      </c>
      <c r="AQ79" s="80">
        <v>0.48172823210174898</v>
      </c>
      <c r="AR79" s="80">
        <v>0.28205128205128199</v>
      </c>
      <c r="AS79" s="80">
        <v>0.487179487179487</v>
      </c>
      <c r="AT79" s="80">
        <v>0.40769230769230802</v>
      </c>
      <c r="AU79" s="80">
        <v>0.52307692307692299</v>
      </c>
      <c r="AV79" s="80">
        <v>0.32307692307692298</v>
      </c>
      <c r="AW79" s="80">
        <v>0.31282051282051299</v>
      </c>
      <c r="AX79" s="80">
        <v>0.35384615384615398</v>
      </c>
      <c r="AY79" s="80">
        <v>0.44102564102564101</v>
      </c>
      <c r="AZ79" s="80">
        <v>2.4363636363636401</v>
      </c>
      <c r="BA79" s="80">
        <v>2.2222222222222201</v>
      </c>
      <c r="BB79" s="80">
        <v>1.8611111111111101</v>
      </c>
      <c r="BC79" s="80">
        <v>1.7777777777777799</v>
      </c>
      <c r="BD79" s="80">
        <v>2.4181818181818202</v>
      </c>
      <c r="BE79" s="80">
        <v>1.9777777777777801</v>
      </c>
      <c r="BF79" s="80">
        <v>2.30909090909091</v>
      </c>
      <c r="BG79" s="80">
        <v>2.4181818181818202</v>
      </c>
      <c r="BH79" s="80">
        <v>40.693549638006203</v>
      </c>
      <c r="BI79" s="80">
        <v>9.6753124789636207</v>
      </c>
      <c r="BJ79" s="80">
        <v>3.1860396713746302</v>
      </c>
      <c r="BK79" s="80">
        <v>1.04284593944005</v>
      </c>
      <c r="BL79" s="80">
        <v>178.61897161709501</v>
      </c>
      <c r="BM79" s="80">
        <v>76.269103325712393</v>
      </c>
      <c r="BN79" s="80">
        <v>14.6473816858184</v>
      </c>
      <c r="BO79" s="80">
        <v>5.1377930898260296</v>
      </c>
      <c r="BP79" s="80">
        <v>2.9984791926709198</v>
      </c>
      <c r="BQ79" s="80">
        <v>316.21637269487502</v>
      </c>
      <c r="BR79" s="80">
        <v>0.227823222077668</v>
      </c>
      <c r="BS79" s="80">
        <v>5.4167328315519403E-2</v>
      </c>
      <c r="BT79" s="80">
        <v>1.78370731984984E-2</v>
      </c>
      <c r="BU79" s="80">
        <v>5.8383828436521998E-3</v>
      </c>
      <c r="BV79" s="80">
        <v>0.24119277150556101</v>
      </c>
      <c r="BW79" s="80">
        <v>4.6320756768505597E-2</v>
      </c>
      <c r="BX79" s="80">
        <v>1.6247713696923599E-2</v>
      </c>
      <c r="BY79" s="80">
        <v>9.4823654041602291E-3</v>
      </c>
    </row>
    <row r="80" spans="1:77">
      <c r="A80" s="80">
        <v>78</v>
      </c>
      <c r="B80" s="49" t="s">
        <v>639</v>
      </c>
      <c r="C80" s="49">
        <v>3</v>
      </c>
      <c r="D80" s="80" t="s">
        <v>729</v>
      </c>
      <c r="E80" s="72" t="s">
        <v>730</v>
      </c>
      <c r="F80" s="72">
        <v>67254843</v>
      </c>
      <c r="G80" s="74">
        <v>30.142857142857142</v>
      </c>
      <c r="H80" s="49">
        <v>36</v>
      </c>
      <c r="I80" s="74">
        <v>93.668954996186102</v>
      </c>
      <c r="J80" s="72">
        <v>10488</v>
      </c>
      <c r="K80" s="74">
        <v>93.668954996186102</v>
      </c>
      <c r="L80" s="80">
        <v>0.294279553233664</v>
      </c>
      <c r="M80" s="80">
        <v>0.28438071476092802</v>
      </c>
      <c r="N80" s="80">
        <v>0.251042489435506</v>
      </c>
      <c r="O80" s="80">
        <v>0.21368813192670699</v>
      </c>
      <c r="P80" s="80">
        <v>0.30150360047798003</v>
      </c>
      <c r="Q80" s="80">
        <v>0.26023837861195598</v>
      </c>
      <c r="R80" s="80">
        <v>0.25343683530754302</v>
      </c>
      <c r="S80" s="80">
        <v>0.24356034030308499</v>
      </c>
      <c r="T80" s="80">
        <v>0.195581539911867</v>
      </c>
      <c r="U80" s="80">
        <v>0.139722087355233</v>
      </c>
      <c r="V80" s="80">
        <v>0.19484848764427001</v>
      </c>
      <c r="W80" s="80">
        <v>0.19741118901292801</v>
      </c>
      <c r="X80" s="80">
        <v>0.18296367547773901</v>
      </c>
      <c r="Y80" s="80">
        <v>0.23649742132958701</v>
      </c>
      <c r="Z80" s="80">
        <v>0.21570490911798301</v>
      </c>
      <c r="AA80" s="80">
        <v>0.209215604976037</v>
      </c>
      <c r="AB80" s="80">
        <v>0.44188034188034198</v>
      </c>
      <c r="AC80" s="80">
        <v>0.486233211233211</v>
      </c>
      <c r="AD80" s="80">
        <v>0.45213675213675197</v>
      </c>
      <c r="AE80" s="80">
        <v>0.40149572649572701</v>
      </c>
      <c r="AF80" s="80">
        <v>0.40961538461538499</v>
      </c>
      <c r="AG80" s="80">
        <v>0.400427350427351</v>
      </c>
      <c r="AH80" s="80">
        <v>0.39978632478632498</v>
      </c>
      <c r="AI80" s="80">
        <v>0.39978632478632498</v>
      </c>
      <c r="AJ80" s="80">
        <v>0.29153643183524502</v>
      </c>
      <c r="AK80" s="80">
        <v>0.23565514843528601</v>
      </c>
      <c r="AL80" s="80">
        <v>0.34310516866544399</v>
      </c>
      <c r="AM80" s="80">
        <v>0.36898848176861898</v>
      </c>
      <c r="AN80" s="80">
        <v>0.246153846153846</v>
      </c>
      <c r="AO80" s="80">
        <v>0.36924451690105797</v>
      </c>
      <c r="AP80" s="80">
        <v>0.34839489876841501</v>
      </c>
      <c r="AQ80" s="80">
        <v>0.34839489876841501</v>
      </c>
      <c r="AR80" s="80">
        <v>0.258974358974359</v>
      </c>
      <c r="AS80" s="80">
        <v>0.20512820512820501</v>
      </c>
      <c r="AT80" s="80">
        <v>0.28205128205128199</v>
      </c>
      <c r="AU80" s="80">
        <v>0.33846153846153898</v>
      </c>
      <c r="AV80" s="80">
        <v>0.246153846153846</v>
      </c>
      <c r="AW80" s="80">
        <v>0.246153846153846</v>
      </c>
      <c r="AX80" s="80">
        <v>0.30769230769230799</v>
      </c>
      <c r="AY80" s="80">
        <v>0.30769230769230799</v>
      </c>
      <c r="AZ80" s="80">
        <v>2.5454545454545499</v>
      </c>
      <c r="BA80" s="80">
        <v>2.7435897435897401</v>
      </c>
      <c r="BB80" s="80">
        <v>2.3787878787878798</v>
      </c>
      <c r="BC80" s="80">
        <v>2.25454545454545</v>
      </c>
      <c r="BD80" s="80">
        <v>2.16363636363636</v>
      </c>
      <c r="BE80" s="80">
        <v>2.2727272727272698</v>
      </c>
      <c r="BF80" s="80">
        <v>2.2909090909090901</v>
      </c>
      <c r="BG80" s="80">
        <v>2.2909090909090901</v>
      </c>
      <c r="BH80" s="80">
        <v>22.9716323082116</v>
      </c>
      <c r="BI80" s="80">
        <v>7.0485987884853598</v>
      </c>
      <c r="BJ80" s="80">
        <v>3.2863266653471599</v>
      </c>
      <c r="BK80" s="80">
        <v>2.20360002583126</v>
      </c>
      <c r="BL80" s="80">
        <v>133.10065180602601</v>
      </c>
      <c r="BM80" s="80">
        <v>40.211599764219201</v>
      </c>
      <c r="BN80" s="80">
        <v>7.7663205647550502</v>
      </c>
      <c r="BO80" s="80">
        <v>3.57343845731745</v>
      </c>
      <c r="BP80" s="80">
        <v>2.55721161420959</v>
      </c>
      <c r="BQ80" s="80">
        <v>180.02532922857799</v>
      </c>
      <c r="BR80" s="80">
        <v>0.17258842835487501</v>
      </c>
      <c r="BS80" s="80">
        <v>5.2956906617990199E-2</v>
      </c>
      <c r="BT80" s="80">
        <v>2.46905377303221E-2</v>
      </c>
      <c r="BU80" s="80">
        <v>1.6555892070631399E-2</v>
      </c>
      <c r="BV80" s="80">
        <v>0.223366344816748</v>
      </c>
      <c r="BW80" s="80">
        <v>4.31401547661893E-2</v>
      </c>
      <c r="BX80" s="80">
        <v>1.98496426732277E-2</v>
      </c>
      <c r="BY80" s="80">
        <v>1.4204732329430699E-2</v>
      </c>
    </row>
    <row r="81" spans="1:77">
      <c r="A81" s="80">
        <v>79</v>
      </c>
      <c r="B81" s="49" t="s">
        <v>639</v>
      </c>
      <c r="C81" s="49">
        <v>3</v>
      </c>
      <c r="D81" s="80" t="s">
        <v>732</v>
      </c>
      <c r="E81" s="72" t="s">
        <v>733</v>
      </c>
      <c r="F81" s="72">
        <v>67230268</v>
      </c>
      <c r="G81" s="74">
        <v>28.285714285714285</v>
      </c>
      <c r="H81" s="49">
        <v>36.571428571428569</v>
      </c>
      <c r="I81" s="74">
        <v>100</v>
      </c>
      <c r="J81" s="72">
        <v>11296</v>
      </c>
      <c r="K81" s="74">
        <v>100</v>
      </c>
      <c r="L81" s="80">
        <v>0.201030912654759</v>
      </c>
      <c r="M81" s="80">
        <v>0.209990967276109</v>
      </c>
      <c r="N81" s="80">
        <v>0.177381481021684</v>
      </c>
      <c r="O81" s="80">
        <v>0.17186385545475699</v>
      </c>
      <c r="P81" s="80">
        <v>0.21247503013573399</v>
      </c>
      <c r="Q81" s="80">
        <v>0.26029413812958502</v>
      </c>
      <c r="R81" s="80">
        <v>0.17173608888918601</v>
      </c>
      <c r="S81" s="80">
        <v>0.19310849127935101</v>
      </c>
      <c r="T81" s="80">
        <v>0.320565975182382</v>
      </c>
      <c r="U81" s="80">
        <v>0.26323696196618201</v>
      </c>
      <c r="V81" s="80">
        <v>0.27888605231703401</v>
      </c>
      <c r="W81" s="80">
        <v>0.32782948641556298</v>
      </c>
      <c r="X81" s="80">
        <v>0.32748666302309998</v>
      </c>
      <c r="Y81" s="80">
        <v>0.15015617440610701</v>
      </c>
      <c r="Z81" s="80">
        <v>0.34497876530049998</v>
      </c>
      <c r="AA81" s="80">
        <v>0.31456217726110303</v>
      </c>
      <c r="AB81" s="80">
        <v>0.29700854700854701</v>
      </c>
      <c r="AC81" s="80">
        <v>0.30982905982906001</v>
      </c>
      <c r="AD81" s="80">
        <v>0.27136752136752101</v>
      </c>
      <c r="AE81" s="80">
        <v>0.27350427350427398</v>
      </c>
      <c r="AF81" s="80">
        <v>0.32286324786324799</v>
      </c>
      <c r="AG81" s="80">
        <v>0.41175213675213701</v>
      </c>
      <c r="AH81" s="80">
        <v>0.256410256410256</v>
      </c>
      <c r="AI81" s="80">
        <v>0.29487179487179499</v>
      </c>
      <c r="AJ81" s="80">
        <v>0.47438142078909601</v>
      </c>
      <c r="AK81" s="80">
        <v>0.37566666160159601</v>
      </c>
      <c r="AL81" s="80">
        <v>0.42124771658388199</v>
      </c>
      <c r="AM81" s="80">
        <v>0.51287120481692094</v>
      </c>
      <c r="AN81" s="80">
        <v>0.50224105261456897</v>
      </c>
      <c r="AO81" s="80">
        <v>0.22564102564102601</v>
      </c>
      <c r="AP81" s="80">
        <v>0.51946174832737102</v>
      </c>
      <c r="AQ81" s="80">
        <v>0.48157300103739298</v>
      </c>
      <c r="AR81" s="80">
        <v>0.34871794871794898</v>
      </c>
      <c r="AS81" s="80">
        <v>0.31538461538461499</v>
      </c>
      <c r="AT81" s="80">
        <v>0.38461538461538503</v>
      </c>
      <c r="AU81" s="80">
        <v>0.42564102564102602</v>
      </c>
      <c r="AV81" s="80">
        <v>0.46153846153846201</v>
      </c>
      <c r="AW81" s="80">
        <v>0.22564102564102601</v>
      </c>
      <c r="AX81" s="80">
        <v>0.45384615384615401</v>
      </c>
      <c r="AY81" s="80">
        <v>0.39230769230769202</v>
      </c>
      <c r="AZ81" s="80">
        <v>1.54838709677419</v>
      </c>
      <c r="BA81" s="80">
        <v>1.6764705882352899</v>
      </c>
      <c r="BB81" s="80">
        <v>1.4814814814814801</v>
      </c>
      <c r="BC81" s="80">
        <v>1.44444444444444</v>
      </c>
      <c r="BD81" s="80">
        <v>2.3571428571428599</v>
      </c>
      <c r="BE81" s="80">
        <v>2.1454545454545499</v>
      </c>
      <c r="BF81" s="80">
        <v>1.3333333333333299</v>
      </c>
      <c r="BG81" s="80">
        <v>1.5806451612903201</v>
      </c>
      <c r="BH81" s="80">
        <v>32.377721746700701</v>
      </c>
      <c r="BI81" s="80">
        <v>9.9083878799512899</v>
      </c>
      <c r="BJ81" s="80">
        <v>2.9997214730717898</v>
      </c>
      <c r="BK81" s="80">
        <v>1.4350222027936399</v>
      </c>
      <c r="BL81" s="80">
        <v>121.675440279119</v>
      </c>
      <c r="BM81" s="80">
        <v>47.756052065696103</v>
      </c>
      <c r="BN81" s="80">
        <v>11.767742037608899</v>
      </c>
      <c r="BO81" s="80">
        <v>4.4357629310454998</v>
      </c>
      <c r="BP81" s="80">
        <v>2.8807312820479201</v>
      </c>
      <c r="BQ81" s="80">
        <v>212.14427497408701</v>
      </c>
      <c r="BR81" s="80">
        <v>0.266099072026592</v>
      </c>
      <c r="BS81" s="80">
        <v>8.1432932210656298E-2</v>
      </c>
      <c r="BT81" s="80">
        <v>2.4653467176206902E-2</v>
      </c>
      <c r="BU81" s="80">
        <v>1.17938525597421E-2</v>
      </c>
      <c r="BV81" s="80">
        <v>0.22511119883640199</v>
      </c>
      <c r="BW81" s="80">
        <v>5.5470467157533503E-2</v>
      </c>
      <c r="BX81" s="80">
        <v>2.0909180469693599E-2</v>
      </c>
      <c r="BY81" s="80">
        <v>1.35791139421499E-2</v>
      </c>
    </row>
    <row r="82" spans="1:77">
      <c r="A82" s="80">
        <v>80</v>
      </c>
      <c r="B82" s="49" t="s">
        <v>644</v>
      </c>
      <c r="C82" s="1">
        <v>2</v>
      </c>
      <c r="D82" s="80" t="s">
        <v>759</v>
      </c>
      <c r="E82" s="72" t="s">
        <v>513</v>
      </c>
      <c r="F82" s="72">
        <v>67042552</v>
      </c>
      <c r="G82" s="74">
        <v>31.428571428571427</v>
      </c>
      <c r="H82" s="1">
        <v>37.571428571428569</v>
      </c>
      <c r="I82" s="74">
        <v>27.360308285163796</v>
      </c>
      <c r="J82" s="72">
        <v>6228</v>
      </c>
      <c r="K82" s="74">
        <v>27.360308285163796</v>
      </c>
      <c r="L82" s="80">
        <v>0.26277676996006799</v>
      </c>
      <c r="M82" s="80">
        <v>0.27010155001951502</v>
      </c>
      <c r="N82" s="80">
        <v>0.27793715657366702</v>
      </c>
      <c r="O82" s="80">
        <v>0.26597610967350499</v>
      </c>
      <c r="P82" s="80">
        <v>0.22753668039050001</v>
      </c>
      <c r="Q82" s="80">
        <v>0.24087433148718701</v>
      </c>
      <c r="R82" s="80">
        <v>0.242092425661076</v>
      </c>
      <c r="S82" s="80">
        <v>0.220395288643077</v>
      </c>
      <c r="T82" s="80">
        <v>0.30236923488353201</v>
      </c>
      <c r="U82" s="80">
        <v>0.23642890107023801</v>
      </c>
      <c r="V82" s="80">
        <v>0.25212991334513302</v>
      </c>
      <c r="W82" s="80">
        <v>0.24440086502497399</v>
      </c>
      <c r="X82" s="80">
        <v>0.31229812396038598</v>
      </c>
      <c r="Y82" s="80">
        <v>0.37235948878734798</v>
      </c>
      <c r="Z82" s="80">
        <v>0.33974340460587998</v>
      </c>
      <c r="AA82" s="80">
        <v>0.31994542203819698</v>
      </c>
      <c r="AB82" s="80">
        <v>0.37960927960927998</v>
      </c>
      <c r="AC82" s="80">
        <v>0.416147741147741</v>
      </c>
      <c r="AD82" s="80">
        <v>0.43269230769230799</v>
      </c>
      <c r="AE82" s="80">
        <v>0.42319902319902297</v>
      </c>
      <c r="AF82" s="80">
        <v>0.31517094017093999</v>
      </c>
      <c r="AG82" s="80">
        <v>0.36004273504273498</v>
      </c>
      <c r="AH82" s="80">
        <v>0.36538461538461597</v>
      </c>
      <c r="AI82" s="80">
        <v>0.34209401709401699</v>
      </c>
      <c r="AJ82" s="80">
        <v>0.42072561740872899</v>
      </c>
      <c r="AK82" s="80">
        <v>0.361215411588928</v>
      </c>
      <c r="AL82" s="80">
        <v>0.38259342280713499</v>
      </c>
      <c r="AM82" s="80">
        <v>0.38123495841761601</v>
      </c>
      <c r="AN82" s="80">
        <v>0.424942988745596</v>
      </c>
      <c r="AO82" s="80">
        <v>0.54753804653598703</v>
      </c>
      <c r="AP82" s="80">
        <v>0.51327992779041598</v>
      </c>
      <c r="AQ82" s="80">
        <v>0.49748029552189499</v>
      </c>
      <c r="AR82" s="80">
        <v>0.32051282051282098</v>
      </c>
      <c r="AS82" s="80">
        <v>0.32051282051282098</v>
      </c>
      <c r="AT82" s="80">
        <v>0.29487179487179499</v>
      </c>
      <c r="AU82" s="80">
        <v>0.28205128205128199</v>
      </c>
      <c r="AV82" s="80">
        <v>0.33846153846153898</v>
      </c>
      <c r="AW82" s="80">
        <v>0.42051282051282102</v>
      </c>
      <c r="AX82" s="80">
        <v>0.41025641025641002</v>
      </c>
      <c r="AY82" s="80">
        <v>0.43846153846153801</v>
      </c>
      <c r="AZ82" s="80">
        <v>2.6363636363636398</v>
      </c>
      <c r="BA82" s="80">
        <v>2.8787878787878798</v>
      </c>
      <c r="BB82" s="80">
        <v>2.6212121212121202</v>
      </c>
      <c r="BC82" s="80">
        <v>2.8030303030303001</v>
      </c>
      <c r="BD82" s="80">
        <v>1.80555555555556</v>
      </c>
      <c r="BE82" s="80">
        <v>2</v>
      </c>
      <c r="BF82" s="80">
        <v>1.93333333333333</v>
      </c>
      <c r="BG82" s="80">
        <v>2.2888888888888901</v>
      </c>
      <c r="BH82" s="80">
        <v>36.816023940561401</v>
      </c>
      <c r="BI82" s="80">
        <v>10.0102188538651</v>
      </c>
      <c r="BJ82" s="80">
        <v>3.92047654850079</v>
      </c>
      <c r="BK82" s="80">
        <v>1.66358895926078</v>
      </c>
      <c r="BL82" s="80">
        <v>249.04278017182099</v>
      </c>
      <c r="BM82" s="80">
        <v>51.115883820771799</v>
      </c>
      <c r="BN82" s="80">
        <v>13.405270919904501</v>
      </c>
      <c r="BO82" s="80">
        <v>5.9345301273106603</v>
      </c>
      <c r="BP82" s="80">
        <v>3.2553676884942599</v>
      </c>
      <c r="BQ82" s="80">
        <v>337.68698448433997</v>
      </c>
      <c r="BR82" s="80">
        <v>0.147830119448398</v>
      </c>
      <c r="BS82" s="80">
        <v>4.0194776363156597E-2</v>
      </c>
      <c r="BT82" s="80">
        <v>1.5742181105575299E-2</v>
      </c>
      <c r="BU82" s="80">
        <v>6.6799324923735104E-3</v>
      </c>
      <c r="BV82" s="80">
        <v>0.15137060701000199</v>
      </c>
      <c r="BW82" s="80">
        <v>3.9697327808990802E-2</v>
      </c>
      <c r="BX82" s="80">
        <v>1.7574056448675102E-2</v>
      </c>
      <c r="BY82" s="80">
        <v>9.6401929540320206E-3</v>
      </c>
    </row>
    <row r="83" spans="1:77">
      <c r="A83" s="80">
        <v>81</v>
      </c>
      <c r="B83" s="49" t="s">
        <v>646</v>
      </c>
      <c r="C83" s="49">
        <v>1</v>
      </c>
      <c r="D83" s="80" t="s">
        <v>768</v>
      </c>
      <c r="E83" s="72" t="s">
        <v>769</v>
      </c>
      <c r="F83" s="72">
        <v>67265544</v>
      </c>
      <c r="G83" s="74">
        <v>33.428571428571431</v>
      </c>
      <c r="H83" s="49">
        <v>36.857142857142854</v>
      </c>
      <c r="I83" s="74">
        <v>0</v>
      </c>
      <c r="J83" s="72">
        <v>4956</v>
      </c>
      <c r="K83" s="74">
        <v>0</v>
      </c>
      <c r="L83" s="80">
        <v>0.26878447813615097</v>
      </c>
      <c r="M83" s="80">
        <v>0.24630112991613201</v>
      </c>
      <c r="N83" s="80">
        <v>0.29387950957222297</v>
      </c>
      <c r="O83" s="80">
        <v>0.28982594817102603</v>
      </c>
      <c r="P83" s="80">
        <v>0.264733164475705</v>
      </c>
      <c r="Q83" s="80">
        <v>0.25723787526515801</v>
      </c>
      <c r="R83" s="80">
        <v>0.24614671719823999</v>
      </c>
      <c r="S83" s="80">
        <v>0.23828439655149999</v>
      </c>
      <c r="T83" s="80">
        <v>0.36280299475797001</v>
      </c>
      <c r="U83" s="80">
        <v>0.22039657831569201</v>
      </c>
      <c r="V83" s="80">
        <v>0.18009655319024301</v>
      </c>
      <c r="W83" s="80">
        <v>0.177956838469501</v>
      </c>
      <c r="X83" s="80">
        <v>0.194835858889568</v>
      </c>
      <c r="Y83" s="80">
        <v>0.426353321549583</v>
      </c>
      <c r="Z83" s="80">
        <v>0.21470649285507301</v>
      </c>
      <c r="AA83" s="80">
        <v>0.205987056187486</v>
      </c>
      <c r="AB83" s="80">
        <v>0.381410256410257</v>
      </c>
      <c r="AC83" s="80">
        <v>0.37072649572649602</v>
      </c>
      <c r="AD83" s="80">
        <v>0.46103479853479901</v>
      </c>
      <c r="AE83" s="80">
        <v>0.46103479853479901</v>
      </c>
      <c r="AF83" s="80">
        <v>0.36645299145299198</v>
      </c>
      <c r="AG83" s="80">
        <v>0.35897435897435898</v>
      </c>
      <c r="AH83" s="80">
        <v>0.368589743589744</v>
      </c>
      <c r="AI83" s="80">
        <v>0.37713675213675202</v>
      </c>
      <c r="AJ83" s="80">
        <v>0.50848543467014296</v>
      </c>
      <c r="AK83" s="80">
        <v>0.31794871794871798</v>
      </c>
      <c r="AL83" s="80">
        <v>0.27435897435897399</v>
      </c>
      <c r="AM83" s="80">
        <v>0.27435897435897399</v>
      </c>
      <c r="AN83" s="80">
        <v>0.261296174076312</v>
      </c>
      <c r="AO83" s="80">
        <v>0.60199257207974399</v>
      </c>
      <c r="AP83" s="80">
        <v>0.318741844926553</v>
      </c>
      <c r="AQ83" s="80">
        <v>0.32051282051282098</v>
      </c>
      <c r="AR83" s="80">
        <v>0.44871794871794901</v>
      </c>
      <c r="AS83" s="80">
        <v>0.31794871794871798</v>
      </c>
      <c r="AT83" s="80">
        <v>0.27435897435897399</v>
      </c>
      <c r="AU83" s="80">
        <v>0.27435897435897399</v>
      </c>
      <c r="AV83" s="80">
        <v>0.230769230769231</v>
      </c>
      <c r="AW83" s="80">
        <v>0.44102564102564101</v>
      </c>
      <c r="AX83" s="80">
        <v>0.258974358974359</v>
      </c>
      <c r="AY83" s="80">
        <v>0.32051282051282098</v>
      </c>
      <c r="AZ83" s="80">
        <v>2.5636363636363599</v>
      </c>
      <c r="BA83" s="80">
        <v>1.9347826086956501</v>
      </c>
      <c r="BB83" s="80">
        <v>3.0897435897435899</v>
      </c>
      <c r="BC83" s="80">
        <v>3.0897435897435899</v>
      </c>
      <c r="BD83" s="80">
        <v>2</v>
      </c>
      <c r="BE83" s="80">
        <v>2.0222222222222199</v>
      </c>
      <c r="BF83" s="80">
        <v>1.97826086956522</v>
      </c>
      <c r="BG83" s="80">
        <v>1.8695652173913</v>
      </c>
      <c r="BH83" s="80">
        <v>59.040643161810898</v>
      </c>
      <c r="BI83" s="80">
        <v>11.131333443493</v>
      </c>
      <c r="BJ83" s="80">
        <v>4.4350580404234403</v>
      </c>
      <c r="BK83" s="80">
        <v>3.0421844951292401</v>
      </c>
      <c r="BL83" s="80">
        <v>301.693696240203</v>
      </c>
      <c r="BM83" s="80">
        <v>73.238425398140194</v>
      </c>
      <c r="BN83" s="80">
        <v>13.322935624821399</v>
      </c>
      <c r="BO83" s="80">
        <v>4.5181936930843198</v>
      </c>
      <c r="BP83" s="80">
        <v>2.7980495404151999</v>
      </c>
      <c r="BQ83" s="80">
        <v>337.61429756034102</v>
      </c>
      <c r="BR83" s="80">
        <v>0.19569730457610801</v>
      </c>
      <c r="BS83" s="80">
        <v>3.6896141955284401E-2</v>
      </c>
      <c r="BT83" s="80">
        <v>1.4700532678323899E-2</v>
      </c>
      <c r="BU83" s="80">
        <v>1.00836859803233E-2</v>
      </c>
      <c r="BV83" s="80">
        <v>0.21692927677344701</v>
      </c>
      <c r="BW83" s="80">
        <v>3.9462000635326198E-2</v>
      </c>
      <c r="BX83" s="80">
        <v>1.33827083915982E-2</v>
      </c>
      <c r="BY83" s="80">
        <v>8.2877104454236305E-3</v>
      </c>
    </row>
    <row r="84" spans="1:77">
      <c r="A84" s="80">
        <v>82</v>
      </c>
      <c r="B84" s="49" t="s">
        <v>644</v>
      </c>
      <c r="C84" s="49">
        <v>2</v>
      </c>
      <c r="D84" s="80" t="s">
        <v>779</v>
      </c>
      <c r="E84" s="72" t="s">
        <v>780</v>
      </c>
      <c r="F84" s="72">
        <v>67258797</v>
      </c>
      <c r="G84" s="74">
        <v>29.285714285714285</v>
      </c>
      <c r="H84" s="49">
        <v>33.714285714285715</v>
      </c>
      <c r="I84" s="74">
        <v>2.2051773729626101</v>
      </c>
      <c r="J84" s="72">
        <v>8344</v>
      </c>
      <c r="K84" s="74">
        <v>2.2051773729626101</v>
      </c>
      <c r="L84" s="80">
        <v>0.26892383302362799</v>
      </c>
      <c r="M84" s="80">
        <v>0.33622879327764899</v>
      </c>
      <c r="N84" s="80">
        <v>0.340492876207172</v>
      </c>
      <c r="O84" s="80">
        <v>0.335685475950524</v>
      </c>
      <c r="P84" s="80">
        <v>0.255743018923348</v>
      </c>
      <c r="Q84" s="80">
        <v>0.25375112341540801</v>
      </c>
      <c r="R84" s="80">
        <v>0.259420962008653</v>
      </c>
      <c r="S84" s="80">
        <v>0.25828934516952901</v>
      </c>
      <c r="T84" s="80">
        <v>0.32571850604740199</v>
      </c>
      <c r="U84" s="80">
        <v>0.26585705855505498</v>
      </c>
      <c r="V84" s="80">
        <v>0.313866296667621</v>
      </c>
      <c r="W84" s="80">
        <v>0.29357499900322298</v>
      </c>
      <c r="X84" s="80">
        <v>0.321852033893541</v>
      </c>
      <c r="Y84" s="80">
        <v>0.29184013043033102</v>
      </c>
      <c r="Z84" s="80">
        <v>0.26318640036548602</v>
      </c>
      <c r="AA84" s="80">
        <v>0.27386620714680499</v>
      </c>
      <c r="AB84" s="80">
        <v>0.401709401709402</v>
      </c>
      <c r="AC84" s="80">
        <v>0.46474358974358998</v>
      </c>
      <c r="AD84" s="80">
        <v>0.46153846153846201</v>
      </c>
      <c r="AE84" s="80">
        <v>0.46474358974358998</v>
      </c>
      <c r="AF84" s="80">
        <v>0.36431623931624002</v>
      </c>
      <c r="AG84" s="80">
        <v>0.36645299145299198</v>
      </c>
      <c r="AH84" s="80">
        <v>0.38675213675213699</v>
      </c>
      <c r="AI84" s="80">
        <v>0.39059829059829099</v>
      </c>
      <c r="AJ84" s="80">
        <v>0.478355344814346</v>
      </c>
      <c r="AK84" s="80">
        <v>0.36935592980415</v>
      </c>
      <c r="AL84" s="80">
        <v>0.420351295538054</v>
      </c>
      <c r="AM84" s="80">
        <v>0.40488591766605497</v>
      </c>
      <c r="AN84" s="80">
        <v>0.44364043558615202</v>
      </c>
      <c r="AO84" s="80">
        <v>0.40745002023015803</v>
      </c>
      <c r="AP84" s="80">
        <v>0.379164129537646</v>
      </c>
      <c r="AQ84" s="80">
        <v>0.40745002023015803</v>
      </c>
      <c r="AR84" s="80">
        <v>0.40256410256410302</v>
      </c>
      <c r="AS84" s="80">
        <v>0.32051282051282098</v>
      </c>
      <c r="AT84" s="80">
        <v>0.4</v>
      </c>
      <c r="AU84" s="80">
        <v>0.37435897435897397</v>
      </c>
      <c r="AV84" s="80">
        <v>0.35641025641025598</v>
      </c>
      <c r="AW84" s="80">
        <v>0.37692307692307703</v>
      </c>
      <c r="AX84" s="80">
        <v>0.33846153846153898</v>
      </c>
      <c r="AY84" s="80">
        <v>0.37692307692307703</v>
      </c>
      <c r="AZ84" s="80">
        <v>2.21818181818182</v>
      </c>
      <c r="BA84" s="80">
        <v>2.2272727272727302</v>
      </c>
      <c r="BB84" s="80">
        <v>2.25757575757576</v>
      </c>
      <c r="BC84" s="80">
        <v>2.2272727272727302</v>
      </c>
      <c r="BD84" s="80">
        <v>1.93333333333333</v>
      </c>
      <c r="BE84" s="80">
        <v>1.97826086956522</v>
      </c>
      <c r="BF84" s="80">
        <v>2.5535714285714302</v>
      </c>
      <c r="BG84" s="80">
        <v>2.5</v>
      </c>
      <c r="BH84" s="80">
        <v>29.683080049913698</v>
      </c>
      <c r="BI84" s="80">
        <v>12.006403706216799</v>
      </c>
      <c r="BJ84" s="80">
        <v>5.1623536869579496</v>
      </c>
      <c r="BK84" s="80">
        <v>2.5356605869046902</v>
      </c>
      <c r="BL84" s="80">
        <v>129.27956697584901</v>
      </c>
      <c r="BM84" s="80">
        <v>62.006926077077502</v>
      </c>
      <c r="BN84" s="80">
        <v>13.934621586959899</v>
      </c>
      <c r="BO84" s="80">
        <v>5.6175883710472299</v>
      </c>
      <c r="BP84" s="80">
        <v>3.3308249035492099</v>
      </c>
      <c r="BQ84" s="80">
        <v>298.608082898558</v>
      </c>
      <c r="BR84" s="80">
        <v>0.22960380162364599</v>
      </c>
      <c r="BS84" s="80">
        <v>9.2871626870932894E-2</v>
      </c>
      <c r="BT84" s="80">
        <v>3.9931706206305102E-2</v>
      </c>
      <c r="BU84" s="80">
        <v>1.9613776919429102E-2</v>
      </c>
      <c r="BV84" s="80">
        <v>0.20765320709065399</v>
      </c>
      <c r="BW84" s="80">
        <v>4.6665252499858603E-2</v>
      </c>
      <c r="BX84" s="80">
        <v>1.8812579741706501E-2</v>
      </c>
      <c r="BY84" s="80">
        <v>1.11545034923946E-2</v>
      </c>
    </row>
    <row r="85" spans="1:77">
      <c r="A85" s="80">
        <v>83</v>
      </c>
      <c r="B85" s="49" t="s">
        <v>646</v>
      </c>
      <c r="C85" s="49">
        <v>1</v>
      </c>
      <c r="D85" s="80" t="s">
        <v>783</v>
      </c>
      <c r="E85" s="72" t="s">
        <v>784</v>
      </c>
      <c r="F85" s="72">
        <v>67229448</v>
      </c>
      <c r="G85" s="74">
        <v>28.285714285714285</v>
      </c>
      <c r="H85" s="49">
        <v>37</v>
      </c>
      <c r="I85" s="74">
        <v>0</v>
      </c>
      <c r="J85" s="72">
        <v>3904</v>
      </c>
      <c r="K85" s="74">
        <v>0</v>
      </c>
      <c r="L85" s="80">
        <v>0.32574441616037098</v>
      </c>
      <c r="M85" s="80">
        <v>0.17588846201021199</v>
      </c>
      <c r="N85" s="80">
        <v>0.172440845348935</v>
      </c>
      <c r="O85" s="80">
        <v>0.165837337043786</v>
      </c>
      <c r="P85" s="80">
        <v>0.31769378897751999</v>
      </c>
      <c r="Q85" s="80">
        <v>0.27100846702173798</v>
      </c>
      <c r="R85" s="80">
        <v>0.16496247421817101</v>
      </c>
      <c r="S85" s="80">
        <v>0.161285994840244</v>
      </c>
      <c r="T85" s="80">
        <v>7.6358398605362796E-2</v>
      </c>
      <c r="U85" s="80">
        <v>0.42657737340531598</v>
      </c>
      <c r="V85" s="80">
        <v>0.42046337540701401</v>
      </c>
      <c r="W85" s="80">
        <v>0.40485302767234199</v>
      </c>
      <c r="X85" s="80">
        <v>0.196748023743888</v>
      </c>
      <c r="Y85" s="80">
        <v>0.29074085436341202</v>
      </c>
      <c r="Z85" s="80">
        <v>0.43045722195969999</v>
      </c>
      <c r="AA85" s="80">
        <v>0.42863957265361602</v>
      </c>
      <c r="AB85" s="80">
        <v>0.492307692307692</v>
      </c>
      <c r="AC85" s="80">
        <v>0.283119658119658</v>
      </c>
      <c r="AD85" s="80">
        <v>0.283119658119658</v>
      </c>
      <c r="AE85" s="80">
        <v>0.283119658119658</v>
      </c>
      <c r="AF85" s="80">
        <v>0.46709401709401699</v>
      </c>
      <c r="AG85" s="80">
        <v>0.40705128205128199</v>
      </c>
      <c r="AH85" s="80">
        <v>0.26068376068376098</v>
      </c>
      <c r="AI85" s="80">
        <v>0.26068376068376098</v>
      </c>
      <c r="AJ85" s="80">
        <v>0.115384615384615</v>
      </c>
      <c r="AK85" s="80">
        <v>0.67834780590398003</v>
      </c>
      <c r="AL85" s="80">
        <v>0.67834780590398003</v>
      </c>
      <c r="AM85" s="80">
        <v>0.67834780590398003</v>
      </c>
      <c r="AN85" s="80">
        <v>0.269230769230769</v>
      </c>
      <c r="AO85" s="80">
        <v>0.428458620114268</v>
      </c>
      <c r="AP85" s="80">
        <v>0.67305807580100896</v>
      </c>
      <c r="AQ85" s="80">
        <v>0.68731152158801201</v>
      </c>
      <c r="AR85" s="80">
        <v>0.115384615384615</v>
      </c>
      <c r="AS85" s="80">
        <v>0.53846153846153899</v>
      </c>
      <c r="AT85" s="80">
        <v>0.53846153846153899</v>
      </c>
      <c r="AU85" s="80">
        <v>0.53846153846153899</v>
      </c>
      <c r="AV85" s="80">
        <v>0.269230769230769</v>
      </c>
      <c r="AW85" s="80">
        <v>0.36410256410256397</v>
      </c>
      <c r="AX85" s="80">
        <v>0.512820512820513</v>
      </c>
      <c r="AY85" s="80">
        <v>0.57692307692307698</v>
      </c>
      <c r="AZ85" s="80">
        <v>2.6666666666666701</v>
      </c>
      <c r="BA85" s="80">
        <v>1.6666666666666701</v>
      </c>
      <c r="BB85" s="80">
        <v>1.6666666666666701</v>
      </c>
      <c r="BC85" s="80">
        <v>1.6666666666666701</v>
      </c>
      <c r="BD85" s="80">
        <v>2.9102564102564101</v>
      </c>
      <c r="BE85" s="80">
        <v>2.16363636363636</v>
      </c>
      <c r="BF85" s="80">
        <v>1.4</v>
      </c>
      <c r="BG85" s="80">
        <v>1.4</v>
      </c>
      <c r="BH85" s="80">
        <v>59.290430975472802</v>
      </c>
      <c r="BI85" s="80">
        <v>10.4140787417093</v>
      </c>
      <c r="BJ85" s="80">
        <v>3.8619136001162602</v>
      </c>
      <c r="BK85" s="80">
        <v>1.9700750634481901</v>
      </c>
      <c r="BL85" s="80">
        <v>356.62564368656899</v>
      </c>
      <c r="BM85" s="80">
        <v>81.267921813650005</v>
      </c>
      <c r="BN85" s="80">
        <v>12.123020057230301</v>
      </c>
      <c r="BO85" s="80">
        <v>3.2827869274008799</v>
      </c>
      <c r="BP85" s="80">
        <v>2.0534646565207901</v>
      </c>
      <c r="BQ85" s="80">
        <v>367.40763240897098</v>
      </c>
      <c r="BR85" s="80">
        <v>0.166253975352322</v>
      </c>
      <c r="BS85" s="80">
        <v>2.9201710325861999E-2</v>
      </c>
      <c r="BT85" s="80">
        <v>1.08290406718772E-2</v>
      </c>
      <c r="BU85" s="80">
        <v>5.5242103262199702E-3</v>
      </c>
      <c r="BV85" s="80">
        <v>0.22119279689646901</v>
      </c>
      <c r="BW85" s="80">
        <v>3.2996102932711699E-2</v>
      </c>
      <c r="BX85" s="80">
        <v>8.9349992700933495E-3</v>
      </c>
      <c r="BY85" s="80">
        <v>5.5890636867201096E-3</v>
      </c>
    </row>
    <row r="86" spans="1:77">
      <c r="A86" s="80">
        <v>84</v>
      </c>
      <c r="B86" s="49" t="s">
        <v>644</v>
      </c>
      <c r="C86" s="1">
        <v>2</v>
      </c>
      <c r="D86" s="80" t="s">
        <v>785</v>
      </c>
      <c r="E86" s="72" t="s">
        <v>786</v>
      </c>
      <c r="F86" s="72">
        <v>67096459</v>
      </c>
      <c r="G86" s="74">
        <v>31.428571428571427</v>
      </c>
      <c r="H86" s="1">
        <v>36.857142857142854</v>
      </c>
      <c r="I86" s="74">
        <v>6.3526834611172003</v>
      </c>
      <c r="J86" s="72">
        <v>7304</v>
      </c>
      <c r="K86" s="74">
        <v>6.3526834611172003</v>
      </c>
      <c r="L86" s="80">
        <v>0.21299926630622101</v>
      </c>
      <c r="M86" s="80">
        <v>0.196369635292206</v>
      </c>
      <c r="N86" s="80">
        <v>0.181642913285536</v>
      </c>
      <c r="O86" s="80">
        <v>0.181072375663581</v>
      </c>
      <c r="P86" s="80">
        <v>0.207784409798833</v>
      </c>
      <c r="Q86" s="80">
        <v>0.207597261573124</v>
      </c>
      <c r="R86" s="80">
        <v>0.18064066374284099</v>
      </c>
      <c r="S86" s="80">
        <v>0.18521650109670701</v>
      </c>
      <c r="T86" s="80">
        <v>0.27001450366471502</v>
      </c>
      <c r="U86" s="80">
        <v>0.26225775745434798</v>
      </c>
      <c r="V86" s="80">
        <v>0.267504399014727</v>
      </c>
      <c r="W86" s="80">
        <v>0.27132182406935701</v>
      </c>
      <c r="X86" s="80">
        <v>0.32792158397279503</v>
      </c>
      <c r="Y86" s="80">
        <v>0.21828631413990901</v>
      </c>
      <c r="Z86" s="80">
        <v>0.32137369149205502</v>
      </c>
      <c r="AA86" s="80">
        <v>0.32777243586444998</v>
      </c>
      <c r="AB86" s="80">
        <v>0.316239316239316</v>
      </c>
      <c r="AC86" s="80">
        <v>0.31730769230769201</v>
      </c>
      <c r="AD86" s="80">
        <v>0.30064102564102602</v>
      </c>
      <c r="AE86" s="80">
        <v>0.30064102564102602</v>
      </c>
      <c r="AF86" s="80">
        <v>0.316239316239316</v>
      </c>
      <c r="AG86" s="80">
        <v>0.35790598290598302</v>
      </c>
      <c r="AH86" s="80">
        <v>0.31410256410256399</v>
      </c>
      <c r="AI86" s="80">
        <v>0.322649572649573</v>
      </c>
      <c r="AJ86" s="80">
        <v>0.37855439403996599</v>
      </c>
      <c r="AK86" s="80">
        <v>0.390478485814651</v>
      </c>
      <c r="AL86" s="80">
        <v>0.42124771658388199</v>
      </c>
      <c r="AM86" s="80">
        <v>0.42124771658388199</v>
      </c>
      <c r="AN86" s="80">
        <v>0.48640822670703998</v>
      </c>
      <c r="AO86" s="80">
        <v>0.34575003371693003</v>
      </c>
      <c r="AP86" s="80">
        <v>0.55287700399755402</v>
      </c>
      <c r="AQ86" s="80">
        <v>0.55596138081212099</v>
      </c>
      <c r="AR86" s="80">
        <v>0.32564102564102598</v>
      </c>
      <c r="AS86" s="80">
        <v>0.35384615384615398</v>
      </c>
      <c r="AT86" s="80">
        <v>0.38461538461538503</v>
      </c>
      <c r="AU86" s="80">
        <v>0.38461538461538503</v>
      </c>
      <c r="AV86" s="80">
        <v>0.45384615384615401</v>
      </c>
      <c r="AW86" s="80">
        <v>0.29487179487179499</v>
      </c>
      <c r="AX86" s="80">
        <v>0.43076923076923102</v>
      </c>
      <c r="AY86" s="80">
        <v>0.43846153846153801</v>
      </c>
      <c r="AZ86" s="80">
        <v>1.8918918918918901</v>
      </c>
      <c r="BA86" s="80">
        <v>1.7777777777777799</v>
      </c>
      <c r="BB86" s="80">
        <v>2.0833333333333299</v>
      </c>
      <c r="BC86" s="80">
        <v>2.0833333333333299</v>
      </c>
      <c r="BD86" s="80">
        <v>1.80555555555556</v>
      </c>
      <c r="BE86" s="80">
        <v>2.0222222222222199</v>
      </c>
      <c r="BF86" s="80">
        <v>1.8333333333333299</v>
      </c>
      <c r="BG86" s="80">
        <v>1.69444444444444</v>
      </c>
      <c r="BH86" s="80">
        <v>25.234024680840601</v>
      </c>
      <c r="BI86" s="80">
        <v>7.4640126623781198</v>
      </c>
      <c r="BJ86" s="80">
        <v>3.3845592006289502</v>
      </c>
      <c r="BK86" s="80">
        <v>2.8122691600804801</v>
      </c>
      <c r="BL86" s="80">
        <v>130.24515802347199</v>
      </c>
      <c r="BM86" s="80">
        <v>28.269524943953598</v>
      </c>
      <c r="BN86" s="80">
        <v>8.1185308741656694</v>
      </c>
      <c r="BO86" s="80">
        <v>3.3545294113613999</v>
      </c>
      <c r="BP86" s="80">
        <v>2.32768386729885</v>
      </c>
      <c r="BQ86" s="80">
        <v>145.49667821173199</v>
      </c>
      <c r="BR86" s="80">
        <v>0.19374251652635799</v>
      </c>
      <c r="BS86" s="80">
        <v>5.7307409930993397E-2</v>
      </c>
      <c r="BT86" s="80">
        <v>2.5986065447584701E-2</v>
      </c>
      <c r="BU86" s="80">
        <v>2.1592120603621E-2</v>
      </c>
      <c r="BV86" s="80">
        <v>0.19429670348085101</v>
      </c>
      <c r="BW86" s="80">
        <v>5.5798736946772898E-2</v>
      </c>
      <c r="BX86" s="80">
        <v>2.30557113233869E-2</v>
      </c>
      <c r="BY86" s="80">
        <v>1.5998192507952199E-2</v>
      </c>
    </row>
  </sheetData>
  <sortState xmlns:xlrd2="http://schemas.microsoft.com/office/spreadsheetml/2017/richdata2" ref="A2:BY87">
    <sortCondition ref="A2:A87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E5E7-1CE1-4948-B9B6-CAF080ECF207}">
  <dimension ref="A1:Y73"/>
  <sheetViews>
    <sheetView zoomScale="58" zoomScaleNormal="85" workbookViewId="0">
      <pane ySplit="1" topLeftCell="A56" activePane="bottomLeft" state="frozen"/>
      <selection activeCell="N1" sqref="N1"/>
      <selection pane="bottomLeft" activeCell="B74" sqref="B74"/>
    </sheetView>
  </sheetViews>
  <sheetFormatPr defaultRowHeight="14"/>
  <cols>
    <col min="2" max="2" width="12.6640625" style="1" customWidth="1"/>
    <col min="3" max="3" width="12.33203125" style="1" customWidth="1"/>
    <col min="4" max="4" width="10.33203125" style="1" customWidth="1"/>
    <col min="15" max="15" width="8.5" customWidth="1"/>
    <col min="17" max="17" width="10.58203125" style="1" customWidth="1"/>
    <col min="18" max="24" width="8.6640625" style="1"/>
  </cols>
  <sheetData>
    <row r="1" spans="2:24" ht="83.5" customHeight="1">
      <c r="B1" s="10" t="s">
        <v>102</v>
      </c>
      <c r="C1" s="10" t="s">
        <v>1</v>
      </c>
      <c r="D1" s="10" t="s">
        <v>53</v>
      </c>
      <c r="E1" s="12" t="s">
        <v>283</v>
      </c>
      <c r="F1" s="12" t="s">
        <v>284</v>
      </c>
      <c r="G1" s="12" t="s">
        <v>285</v>
      </c>
      <c r="H1" s="12" t="s">
        <v>286</v>
      </c>
      <c r="I1" s="12" t="s">
        <v>287</v>
      </c>
      <c r="J1" s="12" t="s">
        <v>288</v>
      </c>
      <c r="K1" s="12" t="s">
        <v>289</v>
      </c>
      <c r="L1" s="12" t="s">
        <v>290</v>
      </c>
      <c r="M1" s="12" t="s">
        <v>291</v>
      </c>
      <c r="N1" s="12" t="s">
        <v>292</v>
      </c>
      <c r="O1" s="12" t="s">
        <v>293</v>
      </c>
      <c r="P1" s="12" t="s">
        <v>294</v>
      </c>
      <c r="Q1" s="10" t="s">
        <v>278</v>
      </c>
      <c r="R1" s="10" t="s">
        <v>263</v>
      </c>
      <c r="S1" s="10" t="s">
        <v>264</v>
      </c>
      <c r="T1" s="10" t="s">
        <v>265</v>
      </c>
      <c r="U1" s="10" t="s">
        <v>266</v>
      </c>
      <c r="V1" s="10" t="s">
        <v>268</v>
      </c>
      <c r="W1" s="10" t="s">
        <v>269</v>
      </c>
      <c r="X1" s="10" t="s">
        <v>267</v>
      </c>
    </row>
    <row r="2" spans="2:24" ht="28">
      <c r="B2" s="2" t="s">
        <v>95</v>
      </c>
      <c r="C2" s="2">
        <v>67212274</v>
      </c>
      <c r="D2" s="1">
        <v>1</v>
      </c>
      <c r="G2">
        <v>192</v>
      </c>
      <c r="M2">
        <v>3616</v>
      </c>
      <c r="N2">
        <f>SUM(E2:M2)</f>
        <v>3808</v>
      </c>
      <c r="O2">
        <v>0</v>
      </c>
    </row>
    <row r="3" spans="2:24" ht="28">
      <c r="B3" s="2" t="s">
        <v>87</v>
      </c>
      <c r="C3" s="2">
        <v>67201008</v>
      </c>
      <c r="D3" s="1">
        <v>2</v>
      </c>
      <c r="E3">
        <v>724</v>
      </c>
      <c r="H3">
        <v>1224</v>
      </c>
      <c r="I3">
        <v>6732</v>
      </c>
      <c r="N3">
        <f>SUM(E3:M3)</f>
        <v>8680</v>
      </c>
      <c r="O3">
        <f>SUM(E3:F3)/N3*100</f>
        <v>8.3410138248847918</v>
      </c>
      <c r="Q3" s="4">
        <v>45584</v>
      </c>
      <c r="R3" s="1">
        <v>2</v>
      </c>
      <c r="S3" s="1">
        <v>0</v>
      </c>
      <c r="T3" s="1">
        <v>16</v>
      </c>
      <c r="U3" s="1">
        <v>5</v>
      </c>
      <c r="V3" s="1">
        <v>19</v>
      </c>
      <c r="W3" s="1">
        <v>8</v>
      </c>
      <c r="X3" s="1">
        <v>12</v>
      </c>
    </row>
    <row r="4" spans="2:24">
      <c r="B4" s="2" t="s">
        <v>183</v>
      </c>
      <c r="C4" s="2">
        <v>67203526</v>
      </c>
      <c r="D4" s="1">
        <v>3</v>
      </c>
      <c r="F4">
        <v>5084</v>
      </c>
      <c r="G4">
        <v>32</v>
      </c>
      <c r="M4">
        <v>16</v>
      </c>
      <c r="N4">
        <f t="shared" ref="N4:N67" si="0">SUM(E4:M4)</f>
        <v>5132</v>
      </c>
      <c r="O4">
        <f t="shared" ref="O4:O67" si="1">SUM(E4:F4)/N4*100</f>
        <v>99.06469212782541</v>
      </c>
      <c r="P4">
        <v>2</v>
      </c>
      <c r="Q4" s="4">
        <v>45582</v>
      </c>
      <c r="R4" s="1">
        <v>2</v>
      </c>
      <c r="S4" s="1">
        <v>0</v>
      </c>
      <c r="T4" s="1">
        <v>29</v>
      </c>
      <c r="U4" s="1">
        <v>5</v>
      </c>
      <c r="V4" s="1">
        <v>17</v>
      </c>
      <c r="W4" s="1">
        <v>4</v>
      </c>
      <c r="X4" s="1">
        <v>18</v>
      </c>
    </row>
    <row r="5" spans="2:24">
      <c r="B5" s="2" t="s">
        <v>5</v>
      </c>
      <c r="C5" s="2">
        <v>67203513</v>
      </c>
      <c r="D5" s="1">
        <v>3</v>
      </c>
      <c r="F5">
        <v>5348</v>
      </c>
      <c r="G5">
        <v>16</v>
      </c>
      <c r="M5">
        <v>16</v>
      </c>
      <c r="N5">
        <f t="shared" si="0"/>
        <v>5380</v>
      </c>
      <c r="O5">
        <f t="shared" si="1"/>
        <v>99.405204460966544</v>
      </c>
      <c r="P5">
        <v>2</v>
      </c>
      <c r="Q5" s="4">
        <v>45582</v>
      </c>
      <c r="R5" s="1">
        <v>2</v>
      </c>
      <c r="S5" s="1">
        <v>0</v>
      </c>
      <c r="T5" s="1">
        <v>23</v>
      </c>
      <c r="U5" s="1">
        <v>7</v>
      </c>
      <c r="V5" s="1">
        <v>16</v>
      </c>
      <c r="W5" s="1">
        <v>7</v>
      </c>
      <c r="X5" s="1">
        <v>15</v>
      </c>
    </row>
    <row r="6" spans="2:24" ht="28">
      <c r="B6" s="13" t="s">
        <v>88</v>
      </c>
      <c r="C6" s="2">
        <v>67186997</v>
      </c>
      <c r="D6" s="1">
        <v>3</v>
      </c>
      <c r="E6">
        <v>3920</v>
      </c>
      <c r="F6">
        <v>7872</v>
      </c>
      <c r="G6">
        <v>88</v>
      </c>
      <c r="J6">
        <v>2288</v>
      </c>
      <c r="M6">
        <v>304</v>
      </c>
      <c r="N6">
        <f t="shared" ref="N6" si="2">SUM(E6:M6)</f>
        <v>14472</v>
      </c>
      <c r="O6">
        <f t="shared" ref="O6" si="3">SUM(E6:F6)/N6*100</f>
        <v>81.481481481481481</v>
      </c>
      <c r="P6">
        <v>2</v>
      </c>
      <c r="Q6" s="4">
        <v>45566</v>
      </c>
      <c r="R6" s="1">
        <v>2</v>
      </c>
      <c r="S6" s="1">
        <v>7</v>
      </c>
      <c r="T6" s="1">
        <v>33</v>
      </c>
      <c r="U6" s="1">
        <v>6</v>
      </c>
      <c r="V6" s="1">
        <v>7</v>
      </c>
      <c r="W6" s="1">
        <v>11</v>
      </c>
      <c r="X6" s="1">
        <v>6</v>
      </c>
    </row>
    <row r="7" spans="2:24">
      <c r="B7" s="14" t="s">
        <v>184</v>
      </c>
      <c r="C7" s="2">
        <v>67208336</v>
      </c>
      <c r="D7" s="1">
        <v>1</v>
      </c>
      <c r="G7">
        <v>240</v>
      </c>
      <c r="I7">
        <v>9752</v>
      </c>
      <c r="J7">
        <v>480</v>
      </c>
      <c r="N7">
        <f t="shared" si="0"/>
        <v>10472</v>
      </c>
      <c r="O7">
        <f t="shared" si="1"/>
        <v>0</v>
      </c>
      <c r="P7">
        <v>1</v>
      </c>
      <c r="Q7" s="4">
        <v>45574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4</v>
      </c>
      <c r="X7" s="1">
        <v>16</v>
      </c>
    </row>
    <row r="8" spans="2:24" ht="28">
      <c r="B8" s="2" t="s">
        <v>96</v>
      </c>
      <c r="C8" s="2">
        <v>67210670</v>
      </c>
      <c r="D8" s="1">
        <v>1</v>
      </c>
      <c r="G8">
        <v>304</v>
      </c>
      <c r="M8">
        <v>5014</v>
      </c>
      <c r="N8">
        <f t="shared" si="0"/>
        <v>5318</v>
      </c>
      <c r="O8">
        <f t="shared" si="1"/>
        <v>0</v>
      </c>
      <c r="P8">
        <v>1</v>
      </c>
      <c r="Q8" s="4">
        <v>45566</v>
      </c>
      <c r="R8" s="1">
        <v>1</v>
      </c>
      <c r="S8" s="1">
        <v>0</v>
      </c>
      <c r="T8" s="1">
        <v>0</v>
      </c>
      <c r="U8" s="1">
        <v>2</v>
      </c>
      <c r="V8" s="1">
        <v>0</v>
      </c>
      <c r="W8" s="1">
        <v>5</v>
      </c>
      <c r="X8" s="1">
        <v>5</v>
      </c>
    </row>
    <row r="9" spans="2:24" ht="28">
      <c r="B9" s="2" t="s">
        <v>97</v>
      </c>
      <c r="C9" s="2">
        <v>67146963</v>
      </c>
      <c r="D9" s="1">
        <v>3</v>
      </c>
      <c r="E9">
        <v>10648</v>
      </c>
      <c r="G9">
        <v>16</v>
      </c>
      <c r="M9">
        <v>1016</v>
      </c>
      <c r="N9">
        <f t="shared" si="0"/>
        <v>11680</v>
      </c>
      <c r="O9">
        <f t="shared" si="1"/>
        <v>91.164383561643831</v>
      </c>
      <c r="P9">
        <v>2</v>
      </c>
      <c r="Q9" s="4">
        <v>45533</v>
      </c>
      <c r="R9" s="1">
        <v>2</v>
      </c>
      <c r="S9" s="1">
        <v>0</v>
      </c>
      <c r="T9" s="1">
        <v>38</v>
      </c>
      <c r="U9" s="1">
        <v>1</v>
      </c>
      <c r="V9" s="1">
        <v>6</v>
      </c>
      <c r="W9" s="1">
        <v>7</v>
      </c>
      <c r="X9" s="1">
        <v>8</v>
      </c>
    </row>
    <row r="10" spans="2:24" ht="28">
      <c r="B10" s="2" t="s">
        <v>98</v>
      </c>
      <c r="C10" s="2">
        <v>67161719</v>
      </c>
      <c r="D10" s="1">
        <v>2</v>
      </c>
      <c r="E10">
        <v>3848</v>
      </c>
      <c r="G10">
        <v>16</v>
      </c>
      <c r="J10">
        <v>624</v>
      </c>
      <c r="K10">
        <v>5208</v>
      </c>
      <c r="N10">
        <f t="shared" si="0"/>
        <v>9696</v>
      </c>
      <c r="O10">
        <f t="shared" si="1"/>
        <v>39.686468646864689</v>
      </c>
      <c r="P10">
        <v>1</v>
      </c>
      <c r="Q10" s="4">
        <v>45526</v>
      </c>
      <c r="R10" s="1">
        <v>2</v>
      </c>
      <c r="S10" s="1">
        <v>0</v>
      </c>
      <c r="T10" s="1">
        <v>14</v>
      </c>
      <c r="U10" s="1">
        <v>5</v>
      </c>
      <c r="V10" s="1">
        <v>2</v>
      </c>
      <c r="W10" s="1">
        <v>5</v>
      </c>
      <c r="X10" s="1">
        <v>11</v>
      </c>
    </row>
    <row r="11" spans="2:24">
      <c r="B11" s="2" t="s">
        <v>0</v>
      </c>
      <c r="C11" s="2">
        <v>67162990</v>
      </c>
      <c r="D11" s="1">
        <v>3</v>
      </c>
      <c r="F11">
        <v>5664</v>
      </c>
      <c r="G11">
        <v>120</v>
      </c>
      <c r="M11">
        <v>88</v>
      </c>
      <c r="N11">
        <f t="shared" si="0"/>
        <v>5872</v>
      </c>
      <c r="O11">
        <f t="shared" si="1"/>
        <v>96.457765667574932</v>
      </c>
      <c r="P11">
        <v>2</v>
      </c>
      <c r="Q11" s="4">
        <v>45519</v>
      </c>
      <c r="R11" s="1">
        <v>2</v>
      </c>
      <c r="S11" s="1">
        <v>0</v>
      </c>
      <c r="T11" s="1">
        <v>9</v>
      </c>
      <c r="U11" s="1">
        <v>1</v>
      </c>
      <c r="V11" s="1">
        <v>0</v>
      </c>
      <c r="W11" s="1">
        <v>5</v>
      </c>
      <c r="X11" s="1">
        <v>5</v>
      </c>
    </row>
    <row r="12" spans="2:24">
      <c r="B12" s="5" t="s">
        <v>81</v>
      </c>
      <c r="C12" s="5">
        <v>67100076</v>
      </c>
      <c r="D12" s="1">
        <v>2</v>
      </c>
      <c r="E12">
        <v>2112</v>
      </c>
      <c r="G12">
        <v>2792</v>
      </c>
      <c r="M12">
        <v>576</v>
      </c>
      <c r="N12">
        <f t="shared" si="0"/>
        <v>5480</v>
      </c>
      <c r="O12">
        <f t="shared" si="1"/>
        <v>38.540145985401459</v>
      </c>
      <c r="P12">
        <v>2</v>
      </c>
      <c r="Q12" s="4">
        <v>45463</v>
      </c>
      <c r="R12" s="1">
        <v>2</v>
      </c>
      <c r="S12" s="1">
        <v>0</v>
      </c>
      <c r="T12" s="1">
        <v>3</v>
      </c>
      <c r="U12" s="1">
        <v>3</v>
      </c>
      <c r="V12" s="1">
        <v>4</v>
      </c>
      <c r="W12" s="1">
        <v>8</v>
      </c>
      <c r="X12" s="1">
        <v>12</v>
      </c>
    </row>
    <row r="13" spans="2:24" ht="28">
      <c r="B13" s="5" t="s">
        <v>99</v>
      </c>
      <c r="C13" s="5">
        <v>67102263</v>
      </c>
      <c r="D13" s="1">
        <v>1</v>
      </c>
      <c r="E13">
        <v>564</v>
      </c>
      <c r="G13">
        <v>16</v>
      </c>
      <c r="J13">
        <v>3268</v>
      </c>
      <c r="K13">
        <v>5212</v>
      </c>
      <c r="N13">
        <f t="shared" si="0"/>
        <v>9060</v>
      </c>
      <c r="O13">
        <f>SUM(E13:F13)/N13*100</f>
        <v>6.2251655629139071</v>
      </c>
      <c r="P13">
        <v>1</v>
      </c>
      <c r="Q13" s="4">
        <v>45494</v>
      </c>
      <c r="R13" s="1">
        <v>2</v>
      </c>
      <c r="S13" s="1">
        <v>5</v>
      </c>
      <c r="T13" s="1">
        <v>39</v>
      </c>
      <c r="U13" s="1">
        <v>8</v>
      </c>
      <c r="V13" s="1">
        <v>28</v>
      </c>
      <c r="W13" s="1">
        <v>7</v>
      </c>
      <c r="X13" s="1">
        <v>14</v>
      </c>
    </row>
    <row r="14" spans="2:24" ht="28">
      <c r="B14" s="5" t="s">
        <v>100</v>
      </c>
      <c r="C14" s="5">
        <v>67121322</v>
      </c>
      <c r="D14" s="1">
        <v>3</v>
      </c>
      <c r="E14">
        <v>8424</v>
      </c>
      <c r="G14" s="1">
        <v>312</v>
      </c>
      <c r="N14">
        <f t="shared" si="0"/>
        <v>8736</v>
      </c>
      <c r="O14">
        <f t="shared" si="1"/>
        <v>96.428571428571431</v>
      </c>
      <c r="P14">
        <v>2</v>
      </c>
      <c r="Q14" s="4">
        <v>45509</v>
      </c>
      <c r="R14" s="1">
        <v>2</v>
      </c>
      <c r="S14" s="1">
        <v>5</v>
      </c>
      <c r="T14" s="1">
        <v>31</v>
      </c>
      <c r="U14" s="1">
        <v>4</v>
      </c>
      <c r="V14" s="1">
        <v>12</v>
      </c>
      <c r="W14" s="1">
        <v>12</v>
      </c>
      <c r="X14" s="1">
        <v>8</v>
      </c>
    </row>
    <row r="15" spans="2:24" ht="28">
      <c r="B15" s="7" t="s">
        <v>101</v>
      </c>
      <c r="C15" s="2">
        <v>67122567</v>
      </c>
      <c r="D15" s="1">
        <v>2</v>
      </c>
      <c r="E15">
        <v>5680</v>
      </c>
      <c r="G15">
        <v>32</v>
      </c>
      <c r="M15">
        <v>18224</v>
      </c>
      <c r="N15">
        <f t="shared" si="0"/>
        <v>23936</v>
      </c>
      <c r="O15">
        <f t="shared" si="1"/>
        <v>23.729946524064172</v>
      </c>
      <c r="P15">
        <v>2</v>
      </c>
      <c r="R15" s="1">
        <v>2</v>
      </c>
      <c r="S15" s="1">
        <v>5</v>
      </c>
      <c r="T15" s="1">
        <v>33</v>
      </c>
      <c r="U15" s="1">
        <v>6</v>
      </c>
      <c r="V15" s="1">
        <v>18</v>
      </c>
      <c r="W15" s="1">
        <v>9</v>
      </c>
    </row>
    <row r="16" spans="2:24" ht="28">
      <c r="B16" s="2" t="s">
        <v>103</v>
      </c>
      <c r="C16" s="2">
        <v>67153024</v>
      </c>
      <c r="D16" s="1">
        <v>1</v>
      </c>
      <c r="G16">
        <v>28</v>
      </c>
      <c r="I16">
        <v>8344</v>
      </c>
      <c r="J16">
        <v>288</v>
      </c>
      <c r="M16">
        <v>32</v>
      </c>
      <c r="N16">
        <f t="shared" si="0"/>
        <v>8692</v>
      </c>
      <c r="O16">
        <f t="shared" si="1"/>
        <v>0</v>
      </c>
      <c r="P16">
        <v>1</v>
      </c>
      <c r="Q16" s="4">
        <v>45532</v>
      </c>
      <c r="R16" s="1">
        <v>2</v>
      </c>
      <c r="S16" s="1">
        <v>2</v>
      </c>
      <c r="T16" s="1">
        <v>4</v>
      </c>
      <c r="U16" s="1">
        <v>9</v>
      </c>
      <c r="V16" s="1">
        <v>15</v>
      </c>
      <c r="W16" s="1">
        <v>9</v>
      </c>
      <c r="X16" s="1">
        <v>14</v>
      </c>
    </row>
    <row r="17" spans="2:24" ht="28">
      <c r="B17" s="5" t="s">
        <v>104</v>
      </c>
      <c r="C17" s="5">
        <v>67094117</v>
      </c>
      <c r="D17" s="1">
        <v>2</v>
      </c>
      <c r="F17">
        <v>448</v>
      </c>
      <c r="G17">
        <v>32</v>
      </c>
      <c r="J17">
        <v>496</v>
      </c>
      <c r="K17">
        <v>2680</v>
      </c>
      <c r="M17">
        <v>1440</v>
      </c>
      <c r="N17">
        <f t="shared" si="0"/>
        <v>5096</v>
      </c>
      <c r="O17">
        <f t="shared" si="1"/>
        <v>8.791208791208792</v>
      </c>
      <c r="P17">
        <v>1</v>
      </c>
      <c r="Q17" s="4">
        <v>45478</v>
      </c>
      <c r="R17" s="1">
        <v>1</v>
      </c>
      <c r="S17" s="1">
        <v>0</v>
      </c>
      <c r="T17" s="1">
        <v>35</v>
      </c>
      <c r="U17" s="1">
        <v>8</v>
      </c>
      <c r="V17" s="1">
        <v>0</v>
      </c>
      <c r="W17" s="1">
        <v>4</v>
      </c>
      <c r="X17" s="1">
        <v>28</v>
      </c>
    </row>
    <row r="18" spans="2:24" ht="28">
      <c r="B18" s="5" t="s">
        <v>105</v>
      </c>
      <c r="C18" s="5">
        <v>67094904</v>
      </c>
      <c r="D18" s="1">
        <v>1</v>
      </c>
      <c r="G18">
        <v>1528</v>
      </c>
      <c r="N18">
        <f t="shared" si="0"/>
        <v>1528</v>
      </c>
      <c r="O18">
        <f>SUM(E18:F18)/N18*100</f>
        <v>0</v>
      </c>
      <c r="P18">
        <v>1</v>
      </c>
      <c r="Q18" s="4">
        <v>45447</v>
      </c>
      <c r="R18" s="1">
        <v>2</v>
      </c>
      <c r="S18" s="1">
        <v>5</v>
      </c>
      <c r="T18" s="1">
        <v>0</v>
      </c>
      <c r="U18" s="1">
        <v>2</v>
      </c>
      <c r="V18" s="1">
        <v>0</v>
      </c>
      <c r="W18" s="1">
        <v>4</v>
      </c>
      <c r="X18" s="1">
        <v>3</v>
      </c>
    </row>
    <row r="19" spans="2:24" ht="28">
      <c r="B19" s="5" t="s">
        <v>106</v>
      </c>
      <c r="C19" s="5">
        <v>67095023</v>
      </c>
      <c r="D19" s="1">
        <v>1</v>
      </c>
      <c r="E19">
        <v>8</v>
      </c>
      <c r="G19" s="1">
        <v>24</v>
      </c>
      <c r="J19">
        <v>64</v>
      </c>
      <c r="K19">
        <v>9912</v>
      </c>
      <c r="L19">
        <v>344</v>
      </c>
      <c r="N19">
        <f t="shared" si="0"/>
        <v>10352</v>
      </c>
      <c r="O19">
        <f t="shared" si="1"/>
        <v>7.7279752704791344E-2</v>
      </c>
      <c r="P19">
        <v>1</v>
      </c>
      <c r="Q19" s="4">
        <v>45497</v>
      </c>
      <c r="R19" s="1">
        <v>2</v>
      </c>
      <c r="S19" s="1">
        <v>6</v>
      </c>
      <c r="T19" s="1">
        <v>42</v>
      </c>
      <c r="U19" s="1">
        <v>23</v>
      </c>
      <c r="V19" s="1">
        <v>17</v>
      </c>
      <c r="W19" s="1">
        <v>14</v>
      </c>
      <c r="X19" s="1">
        <v>21</v>
      </c>
    </row>
    <row r="20" spans="2:24">
      <c r="B20" s="5" t="s">
        <v>107</v>
      </c>
      <c r="C20" s="5">
        <v>67097306</v>
      </c>
      <c r="D20" s="1">
        <v>1</v>
      </c>
      <c r="G20">
        <v>1832</v>
      </c>
      <c r="M20">
        <v>2152</v>
      </c>
      <c r="N20">
        <f t="shared" si="0"/>
        <v>3984</v>
      </c>
      <c r="O20">
        <f t="shared" si="1"/>
        <v>0</v>
      </c>
      <c r="P20">
        <v>1</v>
      </c>
      <c r="Q20" s="4">
        <v>45457</v>
      </c>
      <c r="R20" s="1">
        <v>2</v>
      </c>
      <c r="S20" s="1">
        <v>10</v>
      </c>
      <c r="T20" s="1">
        <v>12</v>
      </c>
      <c r="U20" s="1">
        <v>15</v>
      </c>
      <c r="V20" s="1">
        <v>6</v>
      </c>
      <c r="W20" s="1">
        <v>14</v>
      </c>
      <c r="X20" s="1">
        <v>13</v>
      </c>
    </row>
    <row r="21" spans="2:24" ht="28">
      <c r="B21" s="5" t="s">
        <v>108</v>
      </c>
      <c r="C21" s="5">
        <v>67099292</v>
      </c>
      <c r="D21" s="1">
        <v>2</v>
      </c>
      <c r="F21">
        <v>2715</v>
      </c>
      <c r="G21">
        <v>488</v>
      </c>
      <c r="L21">
        <v>2552</v>
      </c>
      <c r="N21">
        <f t="shared" si="0"/>
        <v>5755</v>
      </c>
      <c r="O21">
        <f t="shared" si="1"/>
        <v>47.176368375325808</v>
      </c>
      <c r="P21">
        <v>1</v>
      </c>
      <c r="Q21" s="4">
        <v>45451</v>
      </c>
      <c r="R21" s="1">
        <v>2</v>
      </c>
      <c r="S21" s="1">
        <v>0</v>
      </c>
      <c r="T21" s="1">
        <v>2</v>
      </c>
      <c r="U21" s="1">
        <v>3</v>
      </c>
      <c r="V21" s="1">
        <v>0</v>
      </c>
      <c r="W21" s="1">
        <v>14</v>
      </c>
      <c r="X21" s="1">
        <v>8</v>
      </c>
    </row>
    <row r="22" spans="2:24" ht="28">
      <c r="B22" s="5" t="s">
        <v>109</v>
      </c>
      <c r="C22" s="5">
        <v>67099787</v>
      </c>
      <c r="D22" s="1">
        <v>1</v>
      </c>
      <c r="G22">
        <v>2280</v>
      </c>
      <c r="L22">
        <v>1872</v>
      </c>
      <c r="M22">
        <v>612</v>
      </c>
      <c r="N22">
        <f t="shared" si="0"/>
        <v>4764</v>
      </c>
      <c r="O22">
        <f t="shared" si="1"/>
        <v>0</v>
      </c>
      <c r="P22">
        <v>1</v>
      </c>
      <c r="Q22" s="4">
        <v>45454</v>
      </c>
      <c r="R22" s="1">
        <v>2</v>
      </c>
      <c r="S22" s="1">
        <v>0</v>
      </c>
      <c r="T22" s="1">
        <v>3</v>
      </c>
      <c r="U22" s="1">
        <v>6</v>
      </c>
      <c r="V22" s="1">
        <v>0</v>
      </c>
      <c r="W22" s="1">
        <v>5</v>
      </c>
      <c r="X22" s="1">
        <v>8</v>
      </c>
    </row>
    <row r="23" spans="2:24" ht="28">
      <c r="B23" s="5" t="s">
        <v>110</v>
      </c>
      <c r="C23" s="5">
        <v>67076460</v>
      </c>
      <c r="D23" s="1">
        <v>3</v>
      </c>
      <c r="E23">
        <v>5324</v>
      </c>
      <c r="F23">
        <v>33</v>
      </c>
      <c r="N23">
        <f t="shared" si="0"/>
        <v>5357</v>
      </c>
      <c r="O23">
        <f t="shared" si="1"/>
        <v>100</v>
      </c>
      <c r="P23">
        <v>2</v>
      </c>
      <c r="Q23" s="4">
        <v>45444</v>
      </c>
      <c r="R23" s="1">
        <v>2</v>
      </c>
      <c r="S23" s="1">
        <v>8</v>
      </c>
      <c r="T23" s="1">
        <v>3</v>
      </c>
      <c r="U23" s="1">
        <v>3</v>
      </c>
      <c r="V23" s="1">
        <v>8</v>
      </c>
      <c r="W23" s="1">
        <v>4</v>
      </c>
      <c r="X23" s="1">
        <v>8</v>
      </c>
    </row>
    <row r="24" spans="2:24" ht="28">
      <c r="B24" s="5" t="s">
        <v>182</v>
      </c>
      <c r="C24" s="5">
        <v>67079367</v>
      </c>
      <c r="D24" s="1">
        <v>3</v>
      </c>
      <c r="F24">
        <v>2976</v>
      </c>
      <c r="G24">
        <v>72</v>
      </c>
      <c r="J24">
        <v>1480</v>
      </c>
      <c r="M24">
        <v>128</v>
      </c>
      <c r="N24">
        <f t="shared" si="0"/>
        <v>4656</v>
      </c>
      <c r="O24">
        <f t="shared" si="1"/>
        <v>63.917525773195869</v>
      </c>
      <c r="P24">
        <v>2</v>
      </c>
      <c r="Q24" s="4">
        <v>45458</v>
      </c>
      <c r="R24" s="1">
        <v>2</v>
      </c>
      <c r="S24" s="1">
        <v>16</v>
      </c>
      <c r="T24" s="1">
        <v>18</v>
      </c>
      <c r="U24" s="1">
        <v>12</v>
      </c>
      <c r="V24" s="1">
        <v>8</v>
      </c>
      <c r="W24" s="1">
        <v>6</v>
      </c>
      <c r="X24" s="1">
        <v>26</v>
      </c>
    </row>
    <row r="25" spans="2:24" ht="28">
      <c r="B25" s="5" t="s">
        <v>111</v>
      </c>
      <c r="C25" s="5">
        <v>67083759</v>
      </c>
      <c r="D25" s="1">
        <v>3</v>
      </c>
      <c r="E25">
        <v>2816</v>
      </c>
      <c r="G25">
        <v>1232</v>
      </c>
      <c r="M25">
        <v>856</v>
      </c>
      <c r="N25">
        <f t="shared" si="0"/>
        <v>4904</v>
      </c>
      <c r="O25">
        <f t="shared" si="1"/>
        <v>57.422512234910272</v>
      </c>
      <c r="P25">
        <v>2</v>
      </c>
      <c r="Q25" s="4">
        <v>45458</v>
      </c>
      <c r="R25" s="1">
        <v>2</v>
      </c>
      <c r="S25" s="1">
        <v>2</v>
      </c>
      <c r="T25" s="1">
        <v>18</v>
      </c>
      <c r="U25" s="1">
        <v>8</v>
      </c>
      <c r="V25" s="1">
        <v>14</v>
      </c>
      <c r="W25" s="1">
        <v>6</v>
      </c>
      <c r="X25" s="1">
        <v>14</v>
      </c>
    </row>
    <row r="26" spans="2:24" ht="28">
      <c r="B26" s="5" t="s">
        <v>112</v>
      </c>
      <c r="C26" s="5">
        <v>67086596</v>
      </c>
      <c r="D26" s="1">
        <v>1</v>
      </c>
      <c r="G26">
        <v>440</v>
      </c>
      <c r="M26">
        <v>4200</v>
      </c>
      <c r="N26">
        <f t="shared" si="0"/>
        <v>4640</v>
      </c>
      <c r="O26">
        <f t="shared" si="1"/>
        <v>0</v>
      </c>
      <c r="P26">
        <v>1</v>
      </c>
      <c r="Q26" s="4">
        <v>45435</v>
      </c>
      <c r="R26" s="1">
        <v>1</v>
      </c>
      <c r="S26" s="1">
        <v>0</v>
      </c>
      <c r="T26" s="1">
        <v>0</v>
      </c>
      <c r="U26" s="1">
        <v>1</v>
      </c>
      <c r="V26" s="1">
        <v>0</v>
      </c>
      <c r="W26" s="1">
        <v>2</v>
      </c>
      <c r="X26" s="1">
        <v>10</v>
      </c>
    </row>
    <row r="27" spans="2:24">
      <c r="B27" s="5" t="s">
        <v>185</v>
      </c>
      <c r="C27" s="5">
        <v>67087440</v>
      </c>
      <c r="D27" s="1">
        <v>1</v>
      </c>
      <c r="G27" s="1">
        <v>80</v>
      </c>
      <c r="M27">
        <v>4304</v>
      </c>
      <c r="N27">
        <f t="shared" si="0"/>
        <v>4384</v>
      </c>
      <c r="O27">
        <f t="shared" si="1"/>
        <v>0</v>
      </c>
      <c r="P27">
        <v>1</v>
      </c>
      <c r="Q27" s="4">
        <v>45485</v>
      </c>
      <c r="R27" s="1">
        <v>2</v>
      </c>
      <c r="S27" s="1">
        <v>24</v>
      </c>
      <c r="T27" s="1">
        <v>24</v>
      </c>
      <c r="U27" s="1">
        <v>24</v>
      </c>
      <c r="V27" s="1">
        <v>19</v>
      </c>
      <c r="W27" s="1">
        <v>8</v>
      </c>
      <c r="X27" s="1">
        <v>17</v>
      </c>
    </row>
    <row r="28" spans="2:24" ht="28">
      <c r="B28" s="5" t="s">
        <v>113</v>
      </c>
      <c r="C28" s="5">
        <v>67094116</v>
      </c>
      <c r="D28" s="1">
        <v>2</v>
      </c>
      <c r="F28">
        <v>728</v>
      </c>
      <c r="G28">
        <v>128</v>
      </c>
      <c r="M28">
        <v>2104</v>
      </c>
      <c r="N28">
        <f t="shared" si="0"/>
        <v>2960</v>
      </c>
      <c r="O28">
        <f t="shared" si="1"/>
        <v>24.594594594594597</v>
      </c>
      <c r="P28">
        <v>1</v>
      </c>
      <c r="Q28" s="4">
        <v>45454</v>
      </c>
      <c r="R28" s="1">
        <v>2</v>
      </c>
      <c r="S28" s="1">
        <v>0</v>
      </c>
      <c r="T28" s="1">
        <v>9</v>
      </c>
      <c r="U28" s="1">
        <v>6</v>
      </c>
      <c r="V28" s="1">
        <v>0</v>
      </c>
      <c r="W28" s="1">
        <v>6</v>
      </c>
      <c r="X28" s="1">
        <v>15</v>
      </c>
    </row>
    <row r="29" spans="2:24" ht="28">
      <c r="B29" s="5" t="s">
        <v>114</v>
      </c>
      <c r="C29" s="5">
        <v>67093820</v>
      </c>
      <c r="D29" s="1">
        <v>3</v>
      </c>
      <c r="F29">
        <v>10528</v>
      </c>
      <c r="G29" s="1">
        <v>8</v>
      </c>
      <c r="M29">
        <v>1432</v>
      </c>
      <c r="N29">
        <f t="shared" si="0"/>
        <v>11968</v>
      </c>
      <c r="O29">
        <f t="shared" si="1"/>
        <v>87.967914438502675</v>
      </c>
      <c r="P29">
        <v>2</v>
      </c>
      <c r="Q29" s="4">
        <v>45487</v>
      </c>
      <c r="R29" s="1">
        <v>2</v>
      </c>
      <c r="S29" s="1">
        <v>20</v>
      </c>
      <c r="T29" s="1">
        <v>21</v>
      </c>
      <c r="U29" s="1">
        <v>12</v>
      </c>
      <c r="V29" s="1">
        <v>7</v>
      </c>
      <c r="W29" s="1">
        <v>4</v>
      </c>
      <c r="X29" s="1">
        <v>26</v>
      </c>
    </row>
    <row r="30" spans="2:24">
      <c r="B30" s="5" t="s">
        <v>201</v>
      </c>
      <c r="C30" s="5">
        <v>67050467</v>
      </c>
      <c r="D30" s="1">
        <v>3</v>
      </c>
      <c r="E30">
        <v>5016</v>
      </c>
      <c r="M30">
        <v>2776</v>
      </c>
      <c r="N30">
        <f t="shared" si="0"/>
        <v>7792</v>
      </c>
      <c r="O30">
        <f t="shared" si="1"/>
        <v>64.373716632443532</v>
      </c>
      <c r="P30">
        <v>1</v>
      </c>
      <c r="Q30" s="4">
        <v>45434</v>
      </c>
      <c r="R30" s="1">
        <v>2</v>
      </c>
      <c r="S30" s="1">
        <v>3</v>
      </c>
      <c r="T30" s="1">
        <v>20</v>
      </c>
      <c r="U30" s="1">
        <v>10</v>
      </c>
      <c r="V30" s="1">
        <v>16</v>
      </c>
      <c r="W30" s="1">
        <v>5</v>
      </c>
      <c r="X30" s="1">
        <v>9</v>
      </c>
    </row>
    <row r="31" spans="2:24" ht="28">
      <c r="B31" s="5" t="s">
        <v>115</v>
      </c>
      <c r="C31" s="5">
        <v>67049139</v>
      </c>
      <c r="D31" s="1">
        <v>3</v>
      </c>
      <c r="E31">
        <v>64</v>
      </c>
      <c r="F31" s="1">
        <v>5668</v>
      </c>
      <c r="M31">
        <v>3612</v>
      </c>
      <c r="N31">
        <f t="shared" si="0"/>
        <v>9344</v>
      </c>
      <c r="O31">
        <f t="shared" si="1"/>
        <v>61.344178082191782</v>
      </c>
      <c r="P31">
        <v>2</v>
      </c>
      <c r="Q31" s="4">
        <v>45455</v>
      </c>
      <c r="R31" s="1">
        <v>2</v>
      </c>
      <c r="S31" s="1">
        <v>3</v>
      </c>
      <c r="T31" s="1">
        <v>36</v>
      </c>
      <c r="U31" s="1">
        <v>3</v>
      </c>
      <c r="V31" s="1">
        <v>16</v>
      </c>
      <c r="W31" s="1">
        <v>8</v>
      </c>
      <c r="X31" s="1">
        <v>6</v>
      </c>
    </row>
    <row r="32" spans="2:24" ht="28">
      <c r="B32" s="7" t="s">
        <v>187</v>
      </c>
      <c r="C32" s="2">
        <v>67160854</v>
      </c>
      <c r="D32" s="1">
        <v>3</v>
      </c>
      <c r="E32">
        <v>4890</v>
      </c>
      <c r="F32">
        <v>4848</v>
      </c>
      <c r="G32">
        <v>4</v>
      </c>
      <c r="N32">
        <f t="shared" si="0"/>
        <v>9742</v>
      </c>
      <c r="O32">
        <f t="shared" si="1"/>
        <v>99.958940669267093</v>
      </c>
      <c r="P32">
        <v>2</v>
      </c>
      <c r="Q32" s="4">
        <v>45549</v>
      </c>
      <c r="R32" s="1">
        <v>2</v>
      </c>
      <c r="S32" s="1">
        <v>6</v>
      </c>
      <c r="T32" s="1">
        <v>32</v>
      </c>
      <c r="U32" s="1">
        <v>13</v>
      </c>
      <c r="V32" s="1">
        <v>8</v>
      </c>
      <c r="W32" s="1">
        <v>3</v>
      </c>
      <c r="X32" s="1">
        <v>16</v>
      </c>
    </row>
    <row r="33" spans="2:25" ht="28">
      <c r="B33" s="2" t="s">
        <v>116</v>
      </c>
      <c r="C33" s="2">
        <v>67123593</v>
      </c>
      <c r="D33" s="1">
        <v>1</v>
      </c>
      <c r="G33">
        <v>192</v>
      </c>
      <c r="J33">
        <v>360</v>
      </c>
      <c r="K33">
        <v>14184</v>
      </c>
      <c r="M33">
        <v>384</v>
      </c>
      <c r="N33">
        <f t="shared" si="0"/>
        <v>15120</v>
      </c>
      <c r="O33">
        <f t="shared" si="1"/>
        <v>0</v>
      </c>
      <c r="P33">
        <v>1</v>
      </c>
      <c r="Q33" s="4">
        <v>45531</v>
      </c>
      <c r="R33" s="1">
        <v>2</v>
      </c>
      <c r="S33" s="1">
        <v>5</v>
      </c>
      <c r="T33" s="1">
        <v>45</v>
      </c>
      <c r="U33" s="1">
        <v>10</v>
      </c>
      <c r="V33" s="1">
        <v>11</v>
      </c>
      <c r="W33" s="1">
        <v>6</v>
      </c>
      <c r="X33" s="1">
        <v>13</v>
      </c>
    </row>
    <row r="34" spans="2:25" ht="28">
      <c r="B34" s="2" t="s">
        <v>117</v>
      </c>
      <c r="C34" s="5">
        <v>67132722</v>
      </c>
      <c r="D34" s="1">
        <v>1</v>
      </c>
      <c r="G34">
        <v>24</v>
      </c>
      <c r="M34">
        <v>3808</v>
      </c>
      <c r="N34">
        <f t="shared" si="0"/>
        <v>3832</v>
      </c>
      <c r="O34">
        <f t="shared" si="1"/>
        <v>0</v>
      </c>
      <c r="P34">
        <v>1</v>
      </c>
      <c r="Q34" s="4">
        <v>45488</v>
      </c>
      <c r="R34" s="1">
        <v>2</v>
      </c>
      <c r="S34" s="1">
        <v>0</v>
      </c>
      <c r="T34" s="1">
        <v>8</v>
      </c>
      <c r="U34" s="1">
        <v>2</v>
      </c>
      <c r="V34" s="1">
        <v>7</v>
      </c>
      <c r="W34" s="1">
        <v>5</v>
      </c>
      <c r="X34" s="1">
        <v>9</v>
      </c>
    </row>
    <row r="35" spans="2:25" ht="28">
      <c r="B35" s="2" t="s">
        <v>118</v>
      </c>
      <c r="C35" s="5">
        <v>67138812</v>
      </c>
      <c r="D35" s="1">
        <v>1</v>
      </c>
      <c r="G35">
        <v>64</v>
      </c>
      <c r="M35">
        <v>3344</v>
      </c>
      <c r="N35">
        <f t="shared" si="0"/>
        <v>3408</v>
      </c>
      <c r="O35">
        <f t="shared" si="1"/>
        <v>0</v>
      </c>
      <c r="P35">
        <v>1</v>
      </c>
      <c r="Q35" s="4">
        <v>45485</v>
      </c>
      <c r="R35" s="1">
        <v>1</v>
      </c>
      <c r="S35" s="1">
        <v>0</v>
      </c>
      <c r="T35" s="1">
        <v>0</v>
      </c>
      <c r="U35" s="1">
        <v>1</v>
      </c>
      <c r="V35" s="1">
        <v>0</v>
      </c>
      <c r="W35" s="1">
        <v>6</v>
      </c>
      <c r="X35" s="1">
        <v>0</v>
      </c>
    </row>
    <row r="36" spans="2:25">
      <c r="B36" s="2" t="s">
        <v>89</v>
      </c>
      <c r="C36" s="5">
        <v>67142117</v>
      </c>
      <c r="D36" s="1">
        <v>1</v>
      </c>
      <c r="G36">
        <v>2970</v>
      </c>
      <c r="N36">
        <f t="shared" si="0"/>
        <v>2970</v>
      </c>
      <c r="O36">
        <f t="shared" si="1"/>
        <v>0</v>
      </c>
      <c r="P36">
        <v>1</v>
      </c>
      <c r="Q36" s="4">
        <v>45492</v>
      </c>
      <c r="R36" s="1">
        <v>1</v>
      </c>
      <c r="S36" s="1">
        <v>0</v>
      </c>
      <c r="T36" s="1">
        <v>0</v>
      </c>
      <c r="U36" s="1">
        <v>1</v>
      </c>
      <c r="V36" s="1">
        <v>7</v>
      </c>
      <c r="W36" s="1">
        <v>2</v>
      </c>
      <c r="X36" s="1">
        <v>7</v>
      </c>
    </row>
    <row r="37" spans="2:25">
      <c r="B37" s="2" t="s">
        <v>91</v>
      </c>
      <c r="C37" s="5">
        <v>67122126</v>
      </c>
      <c r="D37" s="1">
        <v>3</v>
      </c>
      <c r="F37">
        <v>8332</v>
      </c>
      <c r="G37">
        <v>152</v>
      </c>
      <c r="M37">
        <v>160</v>
      </c>
      <c r="N37">
        <f t="shared" si="0"/>
        <v>8644</v>
      </c>
      <c r="O37">
        <f t="shared" si="1"/>
        <v>96.390559925960204</v>
      </c>
      <c r="P37">
        <v>2</v>
      </c>
      <c r="Q37" s="4">
        <v>45510</v>
      </c>
      <c r="R37" s="1">
        <v>2</v>
      </c>
      <c r="S37" s="1">
        <v>4</v>
      </c>
      <c r="T37" s="1">
        <v>28</v>
      </c>
      <c r="U37" s="1">
        <v>9</v>
      </c>
      <c r="V37" s="1">
        <v>10</v>
      </c>
      <c r="W37" s="1">
        <v>10</v>
      </c>
      <c r="X37" s="1">
        <v>7</v>
      </c>
    </row>
    <row r="38" spans="2:25" ht="28">
      <c r="B38" s="2" t="s">
        <v>119</v>
      </c>
      <c r="C38" s="5">
        <v>67122128</v>
      </c>
      <c r="D38" s="1">
        <v>3</v>
      </c>
      <c r="F38">
        <v>3264</v>
      </c>
      <c r="G38">
        <v>236</v>
      </c>
      <c r="J38">
        <v>904</v>
      </c>
      <c r="K38">
        <v>1800</v>
      </c>
      <c r="M38">
        <v>72</v>
      </c>
      <c r="N38">
        <f t="shared" si="0"/>
        <v>6276</v>
      </c>
      <c r="O38">
        <f t="shared" si="1"/>
        <v>52.007648183556412</v>
      </c>
      <c r="P38">
        <v>2</v>
      </c>
      <c r="Q38" s="4">
        <v>45504</v>
      </c>
      <c r="R38" s="1">
        <v>2</v>
      </c>
      <c r="S38" s="1">
        <v>5</v>
      </c>
      <c r="T38" s="1">
        <v>29</v>
      </c>
      <c r="U38" s="1">
        <v>6</v>
      </c>
      <c r="V38" s="1">
        <v>14</v>
      </c>
      <c r="W38" s="1">
        <v>14</v>
      </c>
      <c r="X38" s="1">
        <v>7</v>
      </c>
    </row>
    <row r="39" spans="2:25" ht="28">
      <c r="B39" s="2" t="s">
        <v>120</v>
      </c>
      <c r="C39" s="2">
        <v>67144581</v>
      </c>
      <c r="D39" s="1">
        <v>2</v>
      </c>
      <c r="F39">
        <v>1064</v>
      </c>
      <c r="G39">
        <v>264</v>
      </c>
      <c r="M39">
        <v>1704</v>
      </c>
      <c r="N39">
        <f t="shared" si="0"/>
        <v>3032</v>
      </c>
      <c r="O39">
        <f t="shared" si="1"/>
        <v>35.092348284960423</v>
      </c>
      <c r="P39">
        <v>1</v>
      </c>
      <c r="Q39" s="4">
        <v>45511</v>
      </c>
      <c r="R39" s="1">
        <v>2</v>
      </c>
      <c r="S39" s="1">
        <v>0</v>
      </c>
      <c r="T39" s="1">
        <v>18</v>
      </c>
      <c r="U39" s="1">
        <v>3</v>
      </c>
      <c r="V39" s="1">
        <v>0</v>
      </c>
      <c r="W39" s="1">
        <v>7</v>
      </c>
      <c r="X39" s="1">
        <v>7</v>
      </c>
    </row>
    <row r="40" spans="2:25">
      <c r="B40" s="2" t="s">
        <v>90</v>
      </c>
      <c r="C40" s="2">
        <v>67162824</v>
      </c>
      <c r="D40" s="1">
        <v>1</v>
      </c>
      <c r="J40">
        <v>24</v>
      </c>
      <c r="K40">
        <v>4872</v>
      </c>
      <c r="L40">
        <v>1952</v>
      </c>
      <c r="N40">
        <f t="shared" si="0"/>
        <v>6848</v>
      </c>
      <c r="O40">
        <f t="shared" si="1"/>
        <v>0</v>
      </c>
      <c r="P40">
        <v>1</v>
      </c>
      <c r="Q40" s="4">
        <v>45527</v>
      </c>
      <c r="R40" s="1">
        <v>1</v>
      </c>
      <c r="S40" s="1">
        <v>0</v>
      </c>
      <c r="T40" s="1">
        <v>0</v>
      </c>
      <c r="U40" s="1">
        <v>7</v>
      </c>
      <c r="V40" s="1">
        <v>14</v>
      </c>
      <c r="W40" s="1">
        <v>0</v>
      </c>
      <c r="X40" s="1">
        <v>11</v>
      </c>
    </row>
    <row r="41" spans="2:25">
      <c r="B41" s="5" t="s">
        <v>92</v>
      </c>
      <c r="C41" s="3">
        <v>67063798</v>
      </c>
      <c r="D41" s="1">
        <v>3</v>
      </c>
      <c r="E41">
        <v>4808</v>
      </c>
      <c r="G41">
        <v>128</v>
      </c>
      <c r="M41">
        <v>1136</v>
      </c>
      <c r="N41">
        <f t="shared" si="0"/>
        <v>6072</v>
      </c>
      <c r="O41">
        <f t="shared" si="1"/>
        <v>79.183135704874843</v>
      </c>
      <c r="P41">
        <v>2</v>
      </c>
      <c r="Q41" s="4">
        <v>45418</v>
      </c>
      <c r="R41" s="1">
        <v>2</v>
      </c>
      <c r="S41" s="1">
        <v>9</v>
      </c>
      <c r="T41" s="1">
        <v>0</v>
      </c>
      <c r="U41" s="1">
        <v>11</v>
      </c>
      <c r="V41" s="1">
        <v>14</v>
      </c>
      <c r="W41" s="1">
        <v>1</v>
      </c>
      <c r="X41" s="1">
        <v>17</v>
      </c>
    </row>
    <row r="42" spans="2:25">
      <c r="B42" s="2" t="s">
        <v>93</v>
      </c>
      <c r="C42" s="2">
        <v>67111551</v>
      </c>
      <c r="D42" s="1">
        <v>2</v>
      </c>
      <c r="E42">
        <v>360</v>
      </c>
      <c r="J42">
        <v>240</v>
      </c>
      <c r="K42">
        <v>14528</v>
      </c>
      <c r="M42">
        <v>88</v>
      </c>
      <c r="N42">
        <f t="shared" si="0"/>
        <v>15216</v>
      </c>
      <c r="O42">
        <f t="shared" si="1"/>
        <v>2.3659305993690851</v>
      </c>
      <c r="P42">
        <v>1</v>
      </c>
      <c r="Q42" s="4">
        <v>45541</v>
      </c>
      <c r="R42" s="1">
        <v>2</v>
      </c>
      <c r="S42" s="1">
        <v>22</v>
      </c>
      <c r="T42" s="1">
        <v>53</v>
      </c>
      <c r="U42" s="1">
        <v>5</v>
      </c>
      <c r="V42" s="1">
        <v>22</v>
      </c>
      <c r="W42" s="1">
        <v>3</v>
      </c>
      <c r="X42" s="1">
        <v>39</v>
      </c>
      <c r="Y42" s="15" t="s">
        <v>295</v>
      </c>
    </row>
    <row r="43" spans="2:25" ht="28">
      <c r="B43" s="2" t="s">
        <v>296</v>
      </c>
      <c r="C43" s="2">
        <v>67192543</v>
      </c>
      <c r="D43" s="1">
        <v>2</v>
      </c>
      <c r="E43">
        <v>1024</v>
      </c>
      <c r="J43">
        <v>8528</v>
      </c>
      <c r="K43">
        <v>4804</v>
      </c>
      <c r="N43">
        <f t="shared" si="0"/>
        <v>14356</v>
      </c>
      <c r="O43">
        <f t="shared" si="1"/>
        <v>7.1329061019782678</v>
      </c>
      <c r="P43">
        <v>1</v>
      </c>
      <c r="Q43" s="4">
        <v>45617</v>
      </c>
      <c r="R43" s="1">
        <v>2</v>
      </c>
      <c r="S43" s="1">
        <v>4</v>
      </c>
      <c r="T43" s="1">
        <v>57</v>
      </c>
      <c r="U43" s="1">
        <v>24</v>
      </c>
      <c r="V43" s="1">
        <v>44</v>
      </c>
      <c r="W43" s="1">
        <v>18</v>
      </c>
      <c r="X43" s="1">
        <v>43</v>
      </c>
    </row>
    <row r="44" spans="2:25" ht="28">
      <c r="B44" s="5" t="s">
        <v>121</v>
      </c>
      <c r="C44" s="3">
        <v>67114181</v>
      </c>
      <c r="D44" s="1">
        <v>1</v>
      </c>
      <c r="G44">
        <v>500</v>
      </c>
      <c r="M44">
        <v>5772</v>
      </c>
      <c r="N44">
        <f t="shared" si="0"/>
        <v>6272</v>
      </c>
      <c r="O44">
        <f>SUM(E44:F44)/N44*100</f>
        <v>0</v>
      </c>
      <c r="P44">
        <v>1</v>
      </c>
      <c r="Q44" s="4">
        <v>45496</v>
      </c>
      <c r="R44" s="1">
        <v>2</v>
      </c>
      <c r="S44" s="1">
        <v>0</v>
      </c>
      <c r="T44" s="1">
        <v>8</v>
      </c>
      <c r="U44" s="1">
        <v>6</v>
      </c>
      <c r="V44" s="1">
        <v>0</v>
      </c>
      <c r="W44" s="1">
        <v>14</v>
      </c>
      <c r="X44" s="1">
        <v>10</v>
      </c>
    </row>
    <row r="45" spans="2:25" ht="28">
      <c r="B45" s="2" t="s">
        <v>188</v>
      </c>
      <c r="C45" s="2">
        <v>67102262</v>
      </c>
      <c r="D45" s="1">
        <v>3</v>
      </c>
      <c r="E45">
        <v>13632</v>
      </c>
      <c r="G45">
        <v>8</v>
      </c>
      <c r="M45">
        <v>1584</v>
      </c>
      <c r="N45">
        <f t="shared" si="0"/>
        <v>15224</v>
      </c>
      <c r="O45">
        <f t="shared" si="1"/>
        <v>89.542827115081451</v>
      </c>
      <c r="P45">
        <v>2</v>
      </c>
      <c r="Q45" s="4">
        <v>45542</v>
      </c>
      <c r="R45" s="1">
        <v>2</v>
      </c>
      <c r="S45" s="1">
        <v>17</v>
      </c>
      <c r="T45" s="1">
        <v>31</v>
      </c>
      <c r="U45" s="1">
        <v>22</v>
      </c>
      <c r="V45" s="1">
        <v>35</v>
      </c>
      <c r="W45" s="1">
        <v>9</v>
      </c>
      <c r="X45" s="6">
        <v>41</v>
      </c>
    </row>
    <row r="46" spans="2:25" ht="28">
      <c r="B46" s="2" t="s">
        <v>189</v>
      </c>
      <c r="C46" s="2">
        <v>67178597</v>
      </c>
      <c r="D46" s="1">
        <v>3</v>
      </c>
      <c r="F46">
        <v>6648</v>
      </c>
      <c r="G46">
        <v>352</v>
      </c>
      <c r="H46">
        <v>1120</v>
      </c>
      <c r="I46">
        <v>1640</v>
      </c>
      <c r="N46">
        <f t="shared" si="0"/>
        <v>9760</v>
      </c>
      <c r="O46">
        <f t="shared" si="1"/>
        <v>68.114754098360649</v>
      </c>
      <c r="P46">
        <v>2</v>
      </c>
      <c r="Q46" s="4">
        <v>45556</v>
      </c>
      <c r="R46" s="1">
        <v>2</v>
      </c>
      <c r="S46" s="1">
        <v>0</v>
      </c>
      <c r="T46" s="1">
        <v>7</v>
      </c>
      <c r="U46" s="1">
        <v>6</v>
      </c>
      <c r="V46" s="1">
        <v>1</v>
      </c>
      <c r="W46" s="1">
        <v>7</v>
      </c>
      <c r="X46" s="1">
        <v>11</v>
      </c>
    </row>
    <row r="47" spans="2:25">
      <c r="B47" s="2" t="s">
        <v>4</v>
      </c>
      <c r="C47" s="2">
        <v>67206571</v>
      </c>
      <c r="D47" s="1">
        <v>1</v>
      </c>
      <c r="G47">
        <v>368</v>
      </c>
      <c r="M47">
        <v>4616</v>
      </c>
      <c r="N47">
        <f t="shared" si="0"/>
        <v>4984</v>
      </c>
      <c r="O47">
        <f t="shared" si="1"/>
        <v>0</v>
      </c>
      <c r="P47">
        <v>1</v>
      </c>
      <c r="Q47" s="4">
        <v>45567</v>
      </c>
      <c r="R47" s="1">
        <v>2</v>
      </c>
      <c r="S47" s="1">
        <v>2</v>
      </c>
      <c r="T47" s="1">
        <v>13</v>
      </c>
      <c r="U47" s="1">
        <v>8</v>
      </c>
      <c r="V47" s="1">
        <v>0</v>
      </c>
      <c r="W47" s="1">
        <v>7</v>
      </c>
      <c r="X47" s="1">
        <v>6</v>
      </c>
    </row>
    <row r="48" spans="2:25" ht="28">
      <c r="B48" s="2" t="s">
        <v>190</v>
      </c>
      <c r="C48" s="2">
        <v>67207539</v>
      </c>
      <c r="D48" s="1">
        <v>1</v>
      </c>
      <c r="G48">
        <v>16</v>
      </c>
      <c r="J48">
        <v>1408</v>
      </c>
      <c r="K48">
        <v>2720</v>
      </c>
      <c r="N48">
        <f t="shared" si="0"/>
        <v>4144</v>
      </c>
      <c r="O48">
        <f t="shared" si="1"/>
        <v>0</v>
      </c>
      <c r="P48">
        <v>1</v>
      </c>
      <c r="Q48" s="4">
        <v>45565</v>
      </c>
      <c r="R48" s="1">
        <v>2</v>
      </c>
      <c r="S48" s="1">
        <v>0</v>
      </c>
      <c r="T48" s="1">
        <v>9</v>
      </c>
      <c r="U48" s="1">
        <v>6</v>
      </c>
      <c r="V48" s="1">
        <v>4</v>
      </c>
      <c r="W48" s="1">
        <v>8</v>
      </c>
      <c r="X48" s="1">
        <v>7</v>
      </c>
    </row>
    <row r="49" spans="1:24" ht="28">
      <c r="B49" s="2" t="s">
        <v>191</v>
      </c>
      <c r="C49" s="2">
        <v>67211970</v>
      </c>
      <c r="D49" s="1">
        <v>3</v>
      </c>
      <c r="E49">
        <v>6552</v>
      </c>
      <c r="N49">
        <f t="shared" si="0"/>
        <v>6552</v>
      </c>
      <c r="O49">
        <f t="shared" si="1"/>
        <v>100</v>
      </c>
      <c r="P49">
        <v>1</v>
      </c>
      <c r="Q49" s="4">
        <v>45595</v>
      </c>
      <c r="R49" s="1">
        <v>2</v>
      </c>
      <c r="S49" s="1">
        <v>8</v>
      </c>
      <c r="T49" s="1">
        <v>24</v>
      </c>
      <c r="U49" s="1">
        <v>10</v>
      </c>
      <c r="V49" s="1">
        <v>22</v>
      </c>
      <c r="W49" s="1">
        <v>6</v>
      </c>
      <c r="X49" s="1">
        <v>8</v>
      </c>
    </row>
    <row r="50" spans="1:24">
      <c r="B50" s="2" t="s">
        <v>46</v>
      </c>
      <c r="C50" s="2">
        <v>67191969</v>
      </c>
      <c r="D50" s="1">
        <v>1</v>
      </c>
      <c r="G50">
        <v>120</v>
      </c>
      <c r="J50">
        <v>2184</v>
      </c>
      <c r="L50">
        <v>24</v>
      </c>
      <c r="N50">
        <f t="shared" si="0"/>
        <v>2328</v>
      </c>
      <c r="O50">
        <f t="shared" si="1"/>
        <v>0</v>
      </c>
      <c r="P50">
        <v>1</v>
      </c>
      <c r="Q50" s="4">
        <v>45540</v>
      </c>
      <c r="R50" s="1">
        <v>2</v>
      </c>
      <c r="S50" s="1">
        <v>0</v>
      </c>
      <c r="T50" s="1">
        <v>7</v>
      </c>
      <c r="U50" s="1">
        <v>10</v>
      </c>
      <c r="V50" s="1">
        <v>4</v>
      </c>
      <c r="W50" s="1">
        <v>8</v>
      </c>
      <c r="X50" s="1">
        <v>12</v>
      </c>
    </row>
    <row r="51" spans="1:24">
      <c r="A51">
        <v>59</v>
      </c>
      <c r="B51" s="1" t="s">
        <v>202</v>
      </c>
      <c r="C51" s="1">
        <v>66809729</v>
      </c>
      <c r="D51" s="1">
        <v>3</v>
      </c>
      <c r="F51" s="16">
        <v>60384</v>
      </c>
      <c r="N51">
        <f t="shared" si="0"/>
        <v>60384</v>
      </c>
      <c r="O51">
        <f t="shared" si="1"/>
        <v>100</v>
      </c>
      <c r="P51">
        <v>2</v>
      </c>
      <c r="Q51" s="4">
        <v>45334</v>
      </c>
      <c r="R51" s="1">
        <v>2</v>
      </c>
      <c r="S51" s="1">
        <v>37</v>
      </c>
      <c r="T51" s="1">
        <v>66</v>
      </c>
      <c r="U51" s="1">
        <v>3</v>
      </c>
      <c r="V51" s="1">
        <v>9</v>
      </c>
      <c r="W51" s="1">
        <v>5</v>
      </c>
      <c r="X51" s="1">
        <v>38</v>
      </c>
    </row>
    <row r="52" spans="1:24">
      <c r="A52">
        <v>60</v>
      </c>
      <c r="B52" s="1" t="s">
        <v>203</v>
      </c>
      <c r="C52" s="1">
        <v>64840009</v>
      </c>
      <c r="D52" s="1">
        <v>3</v>
      </c>
      <c r="F52" s="16">
        <v>13248</v>
      </c>
      <c r="M52">
        <v>180</v>
      </c>
      <c r="N52">
        <f t="shared" si="0"/>
        <v>13428</v>
      </c>
      <c r="O52">
        <f t="shared" si="1"/>
        <v>98.659517426273453</v>
      </c>
      <c r="P52">
        <v>2</v>
      </c>
      <c r="Q52" s="4">
        <v>44367</v>
      </c>
      <c r="R52" s="1">
        <v>2</v>
      </c>
      <c r="S52" s="1">
        <v>3</v>
      </c>
      <c r="T52" s="1">
        <v>34</v>
      </c>
      <c r="U52" s="1">
        <v>1</v>
      </c>
      <c r="V52" s="1">
        <v>11</v>
      </c>
      <c r="W52" s="1">
        <v>12</v>
      </c>
      <c r="X52" s="1">
        <v>12</v>
      </c>
    </row>
    <row r="53" spans="1:24">
      <c r="A53">
        <v>61</v>
      </c>
      <c r="B53" s="1" t="s">
        <v>204</v>
      </c>
      <c r="C53" s="1">
        <v>64886425</v>
      </c>
      <c r="D53" s="1">
        <v>3</v>
      </c>
      <c r="F53" s="16">
        <v>11092</v>
      </c>
      <c r="G53">
        <v>144</v>
      </c>
      <c r="H53">
        <v>1620</v>
      </c>
      <c r="N53">
        <f t="shared" si="0"/>
        <v>12856</v>
      </c>
      <c r="O53">
        <f t="shared" si="1"/>
        <v>86.278780336029868</v>
      </c>
      <c r="P53">
        <v>1</v>
      </c>
      <c r="Q53" s="4">
        <v>45537</v>
      </c>
      <c r="R53" s="1">
        <v>2</v>
      </c>
      <c r="S53" s="1">
        <v>15</v>
      </c>
      <c r="T53" s="1">
        <v>23</v>
      </c>
      <c r="U53" s="1">
        <v>17</v>
      </c>
      <c r="V53" s="1">
        <v>5</v>
      </c>
      <c r="W53" s="1">
        <v>12</v>
      </c>
      <c r="X53" s="1">
        <v>17</v>
      </c>
    </row>
    <row r="54" spans="1:24" ht="28">
      <c r="A54">
        <v>63</v>
      </c>
      <c r="B54" s="1" t="s">
        <v>205</v>
      </c>
      <c r="C54" s="1" t="s">
        <v>224</v>
      </c>
      <c r="D54" s="1">
        <v>3</v>
      </c>
      <c r="F54" s="16">
        <v>8440</v>
      </c>
      <c r="G54">
        <v>128</v>
      </c>
      <c r="M54">
        <v>5912</v>
      </c>
      <c r="N54">
        <f t="shared" si="0"/>
        <v>14480</v>
      </c>
      <c r="O54">
        <f t="shared" si="1"/>
        <v>58.287292817679557</v>
      </c>
      <c r="P54">
        <v>2</v>
      </c>
      <c r="Q54" s="4">
        <v>45300</v>
      </c>
      <c r="R54" s="1">
        <v>2</v>
      </c>
      <c r="S54" s="1">
        <v>4</v>
      </c>
      <c r="T54" s="1">
        <v>57</v>
      </c>
      <c r="U54" s="1">
        <v>5</v>
      </c>
      <c r="V54" s="1">
        <v>10</v>
      </c>
      <c r="W54" s="1">
        <v>4</v>
      </c>
      <c r="X54" s="1">
        <v>8</v>
      </c>
    </row>
    <row r="55" spans="1:24">
      <c r="A55">
        <v>62</v>
      </c>
      <c r="B55" s="1" t="s">
        <v>206</v>
      </c>
      <c r="C55" s="1">
        <v>64906734</v>
      </c>
      <c r="D55" s="1">
        <v>3</v>
      </c>
      <c r="F55" s="16">
        <v>5456</v>
      </c>
      <c r="H55">
        <v>1400</v>
      </c>
      <c r="I55">
        <v>640</v>
      </c>
      <c r="N55">
        <f t="shared" si="0"/>
        <v>7496</v>
      </c>
      <c r="O55">
        <f t="shared" si="1"/>
        <v>72.785485592315908</v>
      </c>
      <c r="P55">
        <v>2</v>
      </c>
      <c r="Q55" s="4">
        <v>44433</v>
      </c>
      <c r="R55" s="1">
        <v>2</v>
      </c>
      <c r="S55" s="1">
        <v>2</v>
      </c>
      <c r="T55" s="1">
        <v>11</v>
      </c>
      <c r="U55" s="1">
        <v>8</v>
      </c>
      <c r="V55" s="1">
        <v>17</v>
      </c>
      <c r="W55" s="1">
        <v>4</v>
      </c>
      <c r="X55" s="1">
        <v>29</v>
      </c>
    </row>
    <row r="56" spans="1:24" ht="28">
      <c r="A56">
        <v>66</v>
      </c>
      <c r="B56" s="1" t="s">
        <v>207</v>
      </c>
      <c r="C56" s="1" t="s">
        <v>225</v>
      </c>
      <c r="D56" s="1">
        <v>3</v>
      </c>
      <c r="F56" s="16">
        <v>3264</v>
      </c>
      <c r="G56">
        <v>80</v>
      </c>
      <c r="N56">
        <f t="shared" si="0"/>
        <v>3344</v>
      </c>
      <c r="O56">
        <f t="shared" si="1"/>
        <v>97.607655502392348</v>
      </c>
      <c r="P56">
        <v>1</v>
      </c>
      <c r="Q56" s="4">
        <v>45339</v>
      </c>
      <c r="R56" s="1">
        <v>2</v>
      </c>
      <c r="S56" s="1">
        <v>0</v>
      </c>
      <c r="T56" s="1">
        <v>8</v>
      </c>
      <c r="U56" s="1">
        <v>11</v>
      </c>
      <c r="V56" s="1">
        <v>16</v>
      </c>
      <c r="W56" s="1">
        <v>2</v>
      </c>
      <c r="X56" s="1">
        <v>7</v>
      </c>
    </row>
    <row r="57" spans="1:24" ht="28">
      <c r="A57">
        <v>67</v>
      </c>
      <c r="B57" s="1" t="s">
        <v>208</v>
      </c>
      <c r="C57" s="1" t="s">
        <v>226</v>
      </c>
      <c r="D57" s="1">
        <v>3</v>
      </c>
      <c r="F57" s="16">
        <v>2549</v>
      </c>
      <c r="K57">
        <v>1248</v>
      </c>
      <c r="N57">
        <f t="shared" si="0"/>
        <v>3797</v>
      </c>
      <c r="O57">
        <f t="shared" si="1"/>
        <v>67.131946273373728</v>
      </c>
      <c r="P57">
        <v>1</v>
      </c>
      <c r="Q57" s="4">
        <v>45333</v>
      </c>
      <c r="R57" s="1">
        <v>2</v>
      </c>
      <c r="S57" s="1">
        <v>0</v>
      </c>
      <c r="T57" s="1">
        <v>5</v>
      </c>
      <c r="U57" s="1">
        <v>4</v>
      </c>
      <c r="V57" s="1">
        <v>6</v>
      </c>
      <c r="W57" s="1">
        <v>12</v>
      </c>
      <c r="X57" s="1">
        <v>7</v>
      </c>
    </row>
    <row r="58" spans="1:24">
      <c r="A58">
        <v>64</v>
      </c>
      <c r="B58" s="1" t="s">
        <v>209</v>
      </c>
      <c r="C58" s="1" t="s">
        <v>227</v>
      </c>
      <c r="D58" s="1">
        <v>3</v>
      </c>
      <c r="F58" s="16">
        <v>6056</v>
      </c>
      <c r="G58">
        <v>56</v>
      </c>
      <c r="J58">
        <v>1496</v>
      </c>
      <c r="K58">
        <v>656</v>
      </c>
      <c r="M58">
        <v>752</v>
      </c>
      <c r="N58">
        <f t="shared" si="0"/>
        <v>9016</v>
      </c>
      <c r="O58">
        <f t="shared" si="1"/>
        <v>67.169476486246666</v>
      </c>
      <c r="P58">
        <v>2</v>
      </c>
      <c r="Q58" s="4">
        <v>45286</v>
      </c>
      <c r="R58" s="1">
        <v>2</v>
      </c>
      <c r="S58" s="1">
        <v>0</v>
      </c>
      <c r="T58" s="1">
        <v>10</v>
      </c>
      <c r="U58" s="1">
        <v>9</v>
      </c>
      <c r="V58" s="1">
        <v>7</v>
      </c>
      <c r="W58" s="1">
        <v>10</v>
      </c>
      <c r="X58" s="1">
        <v>6</v>
      </c>
    </row>
    <row r="59" spans="1:24">
      <c r="A59">
        <v>68</v>
      </c>
      <c r="B59" s="1" t="s">
        <v>210</v>
      </c>
      <c r="C59" s="1">
        <v>66957304</v>
      </c>
      <c r="D59" s="1">
        <v>1</v>
      </c>
      <c r="G59">
        <v>16</v>
      </c>
      <c r="K59">
        <v>2976</v>
      </c>
      <c r="L59">
        <v>13588</v>
      </c>
      <c r="M59">
        <v>24</v>
      </c>
      <c r="N59">
        <f t="shared" si="0"/>
        <v>16604</v>
      </c>
      <c r="O59">
        <f>SUM(E59:F59)/N59*100</f>
        <v>0</v>
      </c>
      <c r="P59">
        <v>1</v>
      </c>
      <c r="Q59" s="4">
        <v>45387</v>
      </c>
      <c r="R59" s="1">
        <v>2</v>
      </c>
      <c r="S59" s="1">
        <v>54</v>
      </c>
      <c r="T59" s="1">
        <v>25</v>
      </c>
      <c r="U59" s="1">
        <v>24</v>
      </c>
      <c r="V59" s="1">
        <v>24</v>
      </c>
      <c r="W59" s="1">
        <v>4</v>
      </c>
      <c r="X59" s="1">
        <v>60</v>
      </c>
    </row>
    <row r="60" spans="1:24">
      <c r="A60">
        <v>69</v>
      </c>
      <c r="B60" s="1" t="s">
        <v>211</v>
      </c>
      <c r="C60" s="1">
        <v>66917054</v>
      </c>
      <c r="D60" s="1">
        <v>1</v>
      </c>
      <c r="J60">
        <v>1836</v>
      </c>
      <c r="K60">
        <v>1176</v>
      </c>
      <c r="L60">
        <v>13976</v>
      </c>
      <c r="N60">
        <f t="shared" si="0"/>
        <v>16988</v>
      </c>
      <c r="O60">
        <f t="shared" si="1"/>
        <v>0</v>
      </c>
      <c r="P60">
        <v>1</v>
      </c>
      <c r="Q60" s="4">
        <v>45375</v>
      </c>
      <c r="R60" s="1">
        <v>2</v>
      </c>
      <c r="S60" s="1">
        <v>67</v>
      </c>
      <c r="T60" s="1">
        <v>43</v>
      </c>
      <c r="U60" s="1">
        <v>25</v>
      </c>
      <c r="V60" s="1">
        <v>70</v>
      </c>
      <c r="W60" s="1">
        <v>17</v>
      </c>
      <c r="X60" s="1">
        <v>67</v>
      </c>
    </row>
    <row r="61" spans="1:24" ht="28">
      <c r="A61">
        <v>70</v>
      </c>
      <c r="B61" s="1" t="s">
        <v>297</v>
      </c>
      <c r="C61" s="1">
        <v>66927331</v>
      </c>
      <c r="D61" s="1">
        <v>1</v>
      </c>
      <c r="G61">
        <v>48</v>
      </c>
      <c r="M61">
        <v>21396</v>
      </c>
      <c r="N61">
        <f t="shared" si="0"/>
        <v>21444</v>
      </c>
      <c r="O61">
        <f t="shared" si="1"/>
        <v>0</v>
      </c>
      <c r="P61">
        <v>1</v>
      </c>
      <c r="Q61" s="4">
        <v>45371</v>
      </c>
      <c r="R61" s="1">
        <v>2</v>
      </c>
      <c r="S61" s="1">
        <v>54</v>
      </c>
      <c r="T61" s="1">
        <v>24</v>
      </c>
      <c r="U61" s="1">
        <v>11</v>
      </c>
      <c r="V61" s="1">
        <v>27</v>
      </c>
      <c r="W61" s="1">
        <v>13</v>
      </c>
      <c r="X61" s="1">
        <v>24</v>
      </c>
    </row>
    <row r="62" spans="1:24">
      <c r="A62">
        <v>9</v>
      </c>
      <c r="B62" s="1" t="s">
        <v>298</v>
      </c>
      <c r="C62" s="1">
        <v>67140215</v>
      </c>
      <c r="D62" s="1">
        <v>1</v>
      </c>
      <c r="J62">
        <v>2232</v>
      </c>
      <c r="K62">
        <v>6296</v>
      </c>
      <c r="N62">
        <f t="shared" si="0"/>
        <v>8528</v>
      </c>
      <c r="O62">
        <f t="shared" si="1"/>
        <v>0</v>
      </c>
      <c r="P62">
        <v>1</v>
      </c>
      <c r="Q62" s="4">
        <v>45541</v>
      </c>
      <c r="R62" s="1">
        <v>2</v>
      </c>
      <c r="S62" s="1">
        <v>6</v>
      </c>
      <c r="T62" s="1">
        <v>48</v>
      </c>
      <c r="U62" s="1">
        <v>10</v>
      </c>
      <c r="V62" s="1">
        <v>24</v>
      </c>
      <c r="W62" s="1">
        <v>14</v>
      </c>
      <c r="X62" s="1">
        <v>17</v>
      </c>
    </row>
    <row r="63" spans="1:24" ht="28">
      <c r="A63">
        <v>71</v>
      </c>
      <c r="B63" s="1" t="s">
        <v>214</v>
      </c>
      <c r="C63" s="1">
        <v>66992701</v>
      </c>
      <c r="D63" s="1">
        <v>1</v>
      </c>
      <c r="G63">
        <v>88</v>
      </c>
      <c r="M63">
        <v>47856</v>
      </c>
      <c r="N63">
        <f t="shared" si="0"/>
        <v>47944</v>
      </c>
      <c r="O63">
        <f t="shared" si="1"/>
        <v>0</v>
      </c>
      <c r="P63">
        <v>1</v>
      </c>
      <c r="Q63" s="4">
        <v>45463</v>
      </c>
      <c r="R63" s="1">
        <v>2</v>
      </c>
      <c r="S63" s="1">
        <v>39</v>
      </c>
      <c r="T63" s="1">
        <v>48</v>
      </c>
      <c r="U63" s="1">
        <v>5</v>
      </c>
      <c r="V63" s="1">
        <v>20</v>
      </c>
      <c r="W63" s="1">
        <v>3</v>
      </c>
      <c r="X63" s="1">
        <v>28</v>
      </c>
    </row>
    <row r="64" spans="1:24">
      <c r="A64">
        <v>72</v>
      </c>
      <c r="B64" s="1" t="s">
        <v>215</v>
      </c>
      <c r="C64" s="1">
        <v>66989888</v>
      </c>
      <c r="D64" s="1">
        <v>1</v>
      </c>
      <c r="G64">
        <v>8</v>
      </c>
      <c r="J64">
        <v>88</v>
      </c>
      <c r="K64">
        <v>9440</v>
      </c>
      <c r="L64">
        <v>1240</v>
      </c>
      <c r="N64">
        <f t="shared" si="0"/>
        <v>10776</v>
      </c>
      <c r="O64">
        <f t="shared" si="1"/>
        <v>0</v>
      </c>
      <c r="P64">
        <v>1</v>
      </c>
      <c r="Q64" s="4">
        <v>45403</v>
      </c>
      <c r="R64" s="1">
        <v>2</v>
      </c>
      <c r="S64" s="1">
        <v>28</v>
      </c>
      <c r="T64" s="1">
        <v>56</v>
      </c>
      <c r="U64" s="1">
        <v>14</v>
      </c>
      <c r="V64" s="1">
        <v>29</v>
      </c>
      <c r="W64" s="1">
        <v>3</v>
      </c>
      <c r="X64" s="1">
        <v>41</v>
      </c>
    </row>
    <row r="65" spans="1:24">
      <c r="A65">
        <v>74</v>
      </c>
      <c r="B65" s="1" t="s">
        <v>300</v>
      </c>
      <c r="C65" s="1">
        <v>66851741</v>
      </c>
      <c r="D65" s="1">
        <v>1</v>
      </c>
      <c r="G65">
        <v>264</v>
      </c>
      <c r="M65">
        <v>8784</v>
      </c>
      <c r="N65">
        <f t="shared" si="0"/>
        <v>9048</v>
      </c>
      <c r="O65">
        <f t="shared" si="1"/>
        <v>0</v>
      </c>
      <c r="P65">
        <v>1</v>
      </c>
      <c r="Q65" s="4">
        <v>45257</v>
      </c>
      <c r="R65" s="1">
        <v>2</v>
      </c>
      <c r="S65" s="1">
        <v>7</v>
      </c>
      <c r="T65" s="1">
        <v>26</v>
      </c>
      <c r="U65" s="1">
        <v>10</v>
      </c>
      <c r="V65" s="1">
        <v>14</v>
      </c>
      <c r="W65" s="1">
        <v>5</v>
      </c>
      <c r="X65" s="1">
        <v>7</v>
      </c>
    </row>
    <row r="66" spans="1:24" ht="28">
      <c r="A66">
        <v>73</v>
      </c>
      <c r="B66" s="1" t="s">
        <v>299</v>
      </c>
      <c r="C66" s="1">
        <v>67134903</v>
      </c>
      <c r="D66" s="1">
        <v>1</v>
      </c>
      <c r="G66">
        <v>592</v>
      </c>
      <c r="M66">
        <v>3640</v>
      </c>
      <c r="N66">
        <f t="shared" si="0"/>
        <v>4232</v>
      </c>
      <c r="O66">
        <f t="shared" si="1"/>
        <v>0</v>
      </c>
      <c r="P66">
        <v>1</v>
      </c>
      <c r="Q66" s="4">
        <v>45493</v>
      </c>
      <c r="R66" s="1">
        <v>2</v>
      </c>
      <c r="S66" s="1">
        <v>0</v>
      </c>
      <c r="T66" s="1">
        <v>7</v>
      </c>
      <c r="U66" s="1">
        <v>2</v>
      </c>
      <c r="V66" s="1">
        <v>8</v>
      </c>
      <c r="W66" s="1">
        <v>8</v>
      </c>
      <c r="X66" s="1">
        <v>8</v>
      </c>
    </row>
    <row r="67" spans="1:24" ht="28">
      <c r="A67">
        <v>75</v>
      </c>
      <c r="B67" s="1" t="s">
        <v>301</v>
      </c>
      <c r="C67" s="1">
        <v>67058857</v>
      </c>
      <c r="D67" s="1">
        <v>1</v>
      </c>
      <c r="G67">
        <v>360</v>
      </c>
      <c r="H67">
        <v>5536</v>
      </c>
      <c r="N67">
        <f t="shared" si="0"/>
        <v>5896</v>
      </c>
      <c r="O67">
        <f t="shared" si="1"/>
        <v>0</v>
      </c>
      <c r="P67">
        <v>1</v>
      </c>
      <c r="Q67" s="4">
        <v>45427</v>
      </c>
      <c r="R67" s="1">
        <v>2</v>
      </c>
      <c r="S67" s="1">
        <v>9</v>
      </c>
      <c r="T67" s="1">
        <v>2</v>
      </c>
      <c r="U67" s="1">
        <v>27</v>
      </c>
      <c r="V67" s="1">
        <v>28</v>
      </c>
      <c r="W67" s="1">
        <v>8</v>
      </c>
      <c r="X67" s="1">
        <v>16</v>
      </c>
    </row>
    <row r="68" spans="1:24" ht="28">
      <c r="A68">
        <v>76</v>
      </c>
      <c r="B68" s="1" t="s">
        <v>302</v>
      </c>
      <c r="C68" s="1">
        <v>67151757</v>
      </c>
      <c r="D68" s="1">
        <v>1</v>
      </c>
      <c r="G68">
        <v>1656</v>
      </c>
      <c r="M68">
        <v>2880</v>
      </c>
      <c r="N68">
        <f t="shared" ref="N68:N71" si="4">SUM(E68:M68)</f>
        <v>4536</v>
      </c>
      <c r="O68">
        <f t="shared" ref="O68:O73" si="5">SUM(E68:F68)/N68*100</f>
        <v>0</v>
      </c>
      <c r="P68">
        <v>1</v>
      </c>
      <c r="Q68" s="4">
        <v>45503</v>
      </c>
      <c r="R68" s="1">
        <v>1</v>
      </c>
      <c r="S68" s="1">
        <v>0</v>
      </c>
      <c r="T68" s="1">
        <v>0</v>
      </c>
      <c r="U68" s="1">
        <v>3</v>
      </c>
      <c r="V68" s="1">
        <v>0</v>
      </c>
      <c r="W68" s="1">
        <v>5</v>
      </c>
      <c r="X68" s="1">
        <v>7</v>
      </c>
    </row>
    <row r="69" spans="1:24" ht="28">
      <c r="A69">
        <v>77</v>
      </c>
      <c r="B69" s="1" t="s">
        <v>303</v>
      </c>
      <c r="C69" s="1">
        <v>66880271</v>
      </c>
      <c r="D69" s="1">
        <v>2</v>
      </c>
      <c r="F69" s="1">
        <v>1704</v>
      </c>
      <c r="M69">
        <v>9064</v>
      </c>
      <c r="N69">
        <f t="shared" si="4"/>
        <v>10768</v>
      </c>
      <c r="O69">
        <f t="shared" si="5"/>
        <v>15.824665676077265</v>
      </c>
      <c r="P69">
        <v>1</v>
      </c>
      <c r="Q69" s="4">
        <v>45269</v>
      </c>
      <c r="R69" s="1">
        <v>2</v>
      </c>
      <c r="S69" s="1">
        <v>2</v>
      </c>
      <c r="T69" s="1">
        <v>10</v>
      </c>
      <c r="U69" s="1">
        <v>5</v>
      </c>
      <c r="V69" s="1">
        <v>0</v>
      </c>
      <c r="W69" s="1">
        <v>6</v>
      </c>
      <c r="X69" s="1">
        <v>5</v>
      </c>
    </row>
    <row r="70" spans="1:24">
      <c r="A70">
        <v>78</v>
      </c>
      <c r="B70" s="1" t="s">
        <v>220</v>
      </c>
      <c r="C70" s="1">
        <v>67217267</v>
      </c>
      <c r="D70" s="1">
        <v>2</v>
      </c>
      <c r="P70">
        <v>1</v>
      </c>
      <c r="Q70" s="4">
        <v>45608</v>
      </c>
      <c r="R70" s="1">
        <v>2</v>
      </c>
      <c r="S70" s="1">
        <v>11</v>
      </c>
      <c r="T70" s="1">
        <v>2</v>
      </c>
      <c r="U70" s="1">
        <v>16</v>
      </c>
      <c r="V70" s="1">
        <v>15</v>
      </c>
      <c r="W70" s="1">
        <v>0</v>
      </c>
      <c r="X70" s="1">
        <v>17</v>
      </c>
    </row>
    <row r="71" spans="1:24" ht="28">
      <c r="A71">
        <v>79</v>
      </c>
      <c r="B71" s="8" t="s">
        <v>304</v>
      </c>
      <c r="C71" s="1">
        <v>66865300</v>
      </c>
      <c r="D71" s="1">
        <v>3</v>
      </c>
      <c r="F71">
        <v>12096</v>
      </c>
      <c r="G71">
        <v>420</v>
      </c>
      <c r="M71">
        <v>1200</v>
      </c>
      <c r="N71">
        <f t="shared" si="4"/>
        <v>13716</v>
      </c>
      <c r="O71">
        <f t="shared" si="5"/>
        <v>88.188976377952756</v>
      </c>
      <c r="P71">
        <v>2</v>
      </c>
      <c r="Q71" s="4">
        <v>45281</v>
      </c>
      <c r="R71" s="1">
        <v>2</v>
      </c>
      <c r="S71" s="1">
        <v>17</v>
      </c>
      <c r="T71" s="1">
        <v>25</v>
      </c>
      <c r="U71" s="1">
        <v>7</v>
      </c>
      <c r="V71" s="1">
        <v>13</v>
      </c>
      <c r="W71" s="1">
        <v>7</v>
      </c>
      <c r="X71" s="1">
        <v>9</v>
      </c>
    </row>
    <row r="72" spans="1:24" ht="28">
      <c r="A72">
        <v>80</v>
      </c>
      <c r="B72" s="1" t="s">
        <v>305</v>
      </c>
      <c r="C72" s="1">
        <v>66940573</v>
      </c>
      <c r="D72" s="1">
        <v>3</v>
      </c>
      <c r="E72" s="1">
        <v>3540</v>
      </c>
      <c r="F72" s="1">
        <v>9460</v>
      </c>
      <c r="G72">
        <v>348</v>
      </c>
      <c r="M72">
        <v>1548</v>
      </c>
      <c r="N72">
        <f>SUM(E72:M72)</f>
        <v>14896</v>
      </c>
      <c r="O72">
        <f t="shared" si="5"/>
        <v>87.271750805585384</v>
      </c>
      <c r="P72">
        <v>2</v>
      </c>
      <c r="Q72" s="4">
        <v>45362</v>
      </c>
      <c r="R72" s="1">
        <v>2</v>
      </c>
      <c r="S72" s="1">
        <v>23</v>
      </c>
      <c r="T72" s="1">
        <v>65</v>
      </c>
      <c r="U72" s="1">
        <v>3</v>
      </c>
      <c r="V72" s="1">
        <v>21</v>
      </c>
      <c r="W72" s="1">
        <v>4</v>
      </c>
      <c r="X72" s="1">
        <v>24</v>
      </c>
    </row>
    <row r="73" spans="1:24">
      <c r="A73">
        <v>81</v>
      </c>
      <c r="B73" s="1" t="s">
        <v>221</v>
      </c>
      <c r="C73" s="1">
        <v>66986925</v>
      </c>
      <c r="D73" s="1">
        <v>3</v>
      </c>
      <c r="F73" s="1">
        <v>11268</v>
      </c>
      <c r="G73" s="1">
        <v>8</v>
      </c>
      <c r="N73">
        <f t="shared" ref="N73" si="6">SUM(E73:M73)</f>
        <v>11276</v>
      </c>
      <c r="O73">
        <f t="shared" si="5"/>
        <v>99.929052855622558</v>
      </c>
      <c r="P73">
        <v>2</v>
      </c>
      <c r="Q73" s="4">
        <v>45384</v>
      </c>
      <c r="R73" s="1">
        <v>2</v>
      </c>
      <c r="S73" s="1">
        <v>7</v>
      </c>
      <c r="T73" s="1">
        <v>45</v>
      </c>
      <c r="U73" s="1">
        <v>8</v>
      </c>
      <c r="V73" s="1">
        <v>16</v>
      </c>
      <c r="W73" s="1">
        <v>8</v>
      </c>
      <c r="X73" s="1">
        <v>13</v>
      </c>
    </row>
  </sheetData>
  <autoFilter ref="A1:Y73" xr:uid="{DFA7E5E7-1CE1-4948-B9B6-CAF080ECF207}"/>
  <phoneticPr fontId="1" type="noConversion"/>
  <conditionalFormatting sqref="B1:D1">
    <cfRule type="cellIs" priority="1" operator="equal">
      <formula>" "</formula>
    </cfRule>
  </conditionalFormatting>
  <pageMargins left="0.7" right="0.7" top="0.75" bottom="0.75" header="0.3" footer="0.3"/>
  <ignoredErrors>
    <ignoredError sqref="N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一般信息</vt:lpstr>
      <vt:lpstr>全局</vt:lpstr>
      <vt:lpstr>额叶</vt:lpstr>
      <vt:lpstr>中央区</vt:lpstr>
      <vt:lpstr>顶叶</vt:lpstr>
      <vt:lpstr>枕叶</vt:lpstr>
      <vt:lpstr>颞叶</vt:lpstr>
      <vt:lpstr>Sheet1</vt:lpstr>
      <vt:lpstr>奶方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bolano</dc:creator>
  <cp:lastModifiedBy>徐嘉阳</cp:lastModifiedBy>
  <dcterms:created xsi:type="dcterms:W3CDTF">2015-06-05T18:19:34Z</dcterms:created>
  <dcterms:modified xsi:type="dcterms:W3CDTF">2025-08-11T11:00:29Z</dcterms:modified>
</cp:coreProperties>
</file>